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UESTOS" sheetId="1" r:id="rId5"/>
    <sheet state="visible" name="T1_PRODUCTOS" sheetId="2" r:id="rId6"/>
    <sheet state="visible" name="T2_DEMANDA" sheetId="3" r:id="rId7"/>
    <sheet state="visible" name="T3_COSTOS_IMP" sheetId="4" r:id="rId8"/>
    <sheet state="visible" name="T4_ABC" sheetId="5" r:id="rId9"/>
    <sheet state="visible" name="T5_EOQ" sheetId="6" r:id="rId10"/>
    <sheet state="visible" name="T6_STOCK_SEG" sheetId="7" r:id="rId11"/>
    <sheet state="visible" name="T7_DISTRIBUCION" sheetId="8" r:id="rId12"/>
    <sheet state="visible" name="T8_ULTIMA_MILLA" sheetId="9" r:id="rId13"/>
    <sheet state="visible" name="T9_KPI" sheetId="10" r:id="rId14"/>
    <sheet state="visible" name="T10_PROVEEDORES" sheetId="11" r:id="rId15"/>
  </sheets>
  <definedNames/>
  <calcPr/>
</workbook>
</file>

<file path=xl/sharedStrings.xml><?xml version="1.0" encoding="utf-8"?>
<sst xmlns="http://schemas.openxmlformats.org/spreadsheetml/2006/main" count="730" uniqueCount="457">
  <si>
    <t>CADENA DE SUMINISTRO – DEPORTIVOS BOLIVIA S.R.L.</t>
  </si>
  <si>
    <t>Archivo de Cálculo – Supuestos y Parámetros Base  |  UCB – Trabajo Final de Asignatura</t>
  </si>
  <si>
    <t>Parámetro</t>
  </si>
  <si>
    <t>Nombre ref.</t>
  </si>
  <si>
    <t>Valor</t>
  </si>
  <si>
    <t>Unidad</t>
  </si>
  <si>
    <t>Nota</t>
  </si>
  <si>
    <t>GENERALES</t>
  </si>
  <si>
    <t>Tipo de cambio</t>
  </si>
  <si>
    <t>TCC</t>
  </si>
  <si>
    <t>Bs/USD</t>
  </si>
  <si>
    <t>BCB oficial de venta</t>
  </si>
  <si>
    <t>Horizonte planificación</t>
  </si>
  <si>
    <t>HOR</t>
  </si>
  <si>
    <t>meses</t>
  </si>
  <si>
    <t>Días calendario semestre</t>
  </si>
  <si>
    <t>DC</t>
  </si>
  <si>
    <t>días</t>
  </si>
  <si>
    <t>Días operativos/mes</t>
  </si>
  <si>
    <t>DOM</t>
  </si>
  <si>
    <t>Días operativos semestre</t>
  </si>
  <si>
    <t>DOS</t>
  </si>
  <si>
    <t>CONTENEDOR</t>
  </si>
  <si>
    <t>Volumen útil 40'</t>
  </si>
  <si>
    <t>VOL_CONT</t>
  </si>
  <si>
    <t>m³</t>
  </si>
  <si>
    <t>Capacidad de planificación</t>
  </si>
  <si>
    <t>Volumen neto productos</t>
  </si>
  <si>
    <t>VOL_NETO</t>
  </si>
  <si>
    <t>Suma CBM tabla</t>
  </si>
  <si>
    <t>Incremento embalaje volumen</t>
  </si>
  <si>
    <t>INC_VOL</t>
  </si>
  <si>
    <t>%</t>
  </si>
  <si>
    <t>Embalaje 2°/3°</t>
  </si>
  <si>
    <t>Volumen con embalaje</t>
  </si>
  <si>
    <t>VOL_EMB</t>
  </si>
  <si>
    <t>Utilización contenedor</t>
  </si>
  <si>
    <t>UTIL_CONT</t>
  </si>
  <si>
    <t>Peso neto total</t>
  </si>
  <si>
    <t>PESO_NETO</t>
  </si>
  <si>
    <t>kg</t>
  </si>
  <si>
    <t>Suma pesos</t>
  </si>
  <si>
    <t>Incremento peso embalaje</t>
  </si>
  <si>
    <t>INC_PESO</t>
  </si>
  <si>
    <t>Peso bruto total</t>
  </si>
  <si>
    <t>PESO_BRUTO</t>
  </si>
  <si>
    <t>IMPORTACIÓN</t>
  </si>
  <si>
    <t>FOB total (tabla T1)</t>
  </si>
  <si>
    <t>FOB_TOT</t>
  </si>
  <si>
    <t>USD</t>
  </si>
  <si>
    <t>Suma FOB tabla</t>
  </si>
  <si>
    <t>Flete marítimo 40'</t>
  </si>
  <si>
    <t>FLETE</t>
  </si>
  <si>
    <t>Ruta Panamá→Callao→Bolivia (ref. Maersk)</t>
  </si>
  <si>
    <t>Seguro (% FOB)</t>
  </si>
  <si>
    <t>SEG_PCT</t>
  </si>
  <si>
    <t>0.70% del FOB</t>
  </si>
  <si>
    <t>Seguro monto</t>
  </si>
  <si>
    <t>SEG</t>
  </si>
  <si>
    <t>CIF</t>
  </si>
  <si>
    <t>CIF_VAL</t>
  </si>
  <si>
    <t>FOB+Flete+Seguro</t>
  </si>
  <si>
    <t>Gastos documentales</t>
  </si>
  <si>
    <t>GD</t>
  </si>
  <si>
    <t>Por embarque</t>
  </si>
  <si>
    <t>Gastos portuarios</t>
  </si>
  <si>
    <t>GP</t>
  </si>
  <si>
    <t>Por contenedor</t>
  </si>
  <si>
    <t>Agencia despachante (% CIF)</t>
  </si>
  <si>
    <t>AG_PCT</t>
  </si>
  <si>
    <t>0.80% CIF</t>
  </si>
  <si>
    <t>Agencia monto</t>
  </si>
  <si>
    <t>AG</t>
  </si>
  <si>
    <t>mínimo 300 USD</t>
  </si>
  <si>
    <t>Transporte interno Cochabamba</t>
  </si>
  <si>
    <t>TRANSP</t>
  </si>
  <si>
    <t>Merma logística (% FOB)</t>
  </si>
  <si>
    <t>MERMA_PCT</t>
  </si>
  <si>
    <t>1% FOB</t>
  </si>
  <si>
    <t>Merma monto</t>
  </si>
  <si>
    <t>MERMA</t>
  </si>
  <si>
    <t>GA (Gravamen Arancelario)</t>
  </si>
  <si>
    <t>GA_PCT</t>
  </si>
  <si>
    <t>10% sobre CIF</t>
  </si>
  <si>
    <t>GA monto</t>
  </si>
  <si>
    <t>GA</t>
  </si>
  <si>
    <t>Base imponible</t>
  </si>
  <si>
    <t>BASE_IMP</t>
  </si>
  <si>
    <t>CIF+GA</t>
  </si>
  <si>
    <t>IVA efectivo importación</t>
  </si>
  <si>
    <t>IVA_PCT</t>
  </si>
  <si>
    <t>14.94% sobre base imponible</t>
  </si>
  <si>
    <t>IVA monto</t>
  </si>
  <si>
    <t>IVA</t>
  </si>
  <si>
    <t>Total tributos</t>
  </si>
  <si>
    <t>TRIB</t>
  </si>
  <si>
    <t>GA+IVA</t>
  </si>
  <si>
    <t>COSTO TOTAL hasta almacén</t>
  </si>
  <si>
    <t>CT_USD</t>
  </si>
  <si>
    <t>Costo total en Bs</t>
  </si>
  <si>
    <t>CT_BS</t>
  </si>
  <si>
    <t>Bs</t>
  </si>
  <si>
    <t>Multiplicador unitario</t>
  </si>
  <si>
    <t>MULT</t>
  </si>
  <si>
    <t>factor</t>
  </si>
  <si>
    <t>CT/FOB</t>
  </si>
  <si>
    <t>INVENTARIOS</t>
  </si>
  <si>
    <t>S – Costo orden interna</t>
  </si>
  <si>
    <t>S_ORD</t>
  </si>
  <si>
    <t>Por pedido</t>
  </si>
  <si>
    <t>H anual % costo</t>
  </si>
  <si>
    <t>H_ANUAL</t>
  </si>
  <si>
    <t>24% anual</t>
  </si>
  <si>
    <t>H mensual</t>
  </si>
  <si>
    <t>H_MES</t>
  </si>
  <si>
    <t>Lead time total importación</t>
  </si>
  <si>
    <t>LT_IMP</t>
  </si>
  <si>
    <t>Lead time reposición interna</t>
  </si>
  <si>
    <t>LT_INT</t>
  </si>
  <si>
    <t>días operativos</t>
  </si>
  <si>
    <t>Tiendas</t>
  </si>
  <si>
    <t>Z productos A</t>
  </si>
  <si>
    <t>Z_A</t>
  </si>
  <si>
    <t>NS 95%</t>
  </si>
  <si>
    <t>Z productos B</t>
  </si>
  <si>
    <t>Z_B</t>
  </si>
  <si>
    <t>NS 90%</t>
  </si>
  <si>
    <t>Z productos C</t>
  </si>
  <si>
    <t>Z_C</t>
  </si>
  <si>
    <t>NS 85%</t>
  </si>
  <si>
    <t>Var demanda productos A</t>
  </si>
  <si>
    <t>VAR_A</t>
  </si>
  <si>
    <t>20% d_diaria</t>
  </si>
  <si>
    <t>Var demanda productos B</t>
  </si>
  <si>
    <t>VAR_B</t>
  </si>
  <si>
    <t>Var demanda productos C</t>
  </si>
  <si>
    <t>VAR_C</t>
  </si>
  <si>
    <t>DISTRIBUCIÓN</t>
  </si>
  <si>
    <t>Costo despacho Cbba tienda</t>
  </si>
  <si>
    <t>CST_CBB</t>
  </si>
  <si>
    <t>1 vez/semana</t>
  </si>
  <si>
    <t>Costo despacho La Paz</t>
  </si>
  <si>
    <t>CST_LPZ</t>
  </si>
  <si>
    <t>Cada 15 días</t>
  </si>
  <si>
    <t>Costo despacho Santa Cruz</t>
  </si>
  <si>
    <t>CST_SCZ</t>
  </si>
  <si>
    <t>Despachos Cbba/semestre</t>
  </si>
  <si>
    <t>DSP_CBB</t>
  </si>
  <si>
    <t>despachos</t>
  </si>
  <si>
    <t>Despachos La Paz/semestre</t>
  </si>
  <si>
    <t>DSP_LPZ</t>
  </si>
  <si>
    <t>Despachos SCZ/semestre</t>
  </si>
  <si>
    <t>DSP_SCZ</t>
  </si>
  <si>
    <t>Costo manipuleo despacho</t>
  </si>
  <si>
    <t>MAN</t>
  </si>
  <si>
    <t>Bs/unidad</t>
  </si>
  <si>
    <t>COURIER</t>
  </si>
  <si>
    <t>Factor peso volumétrico</t>
  </si>
  <si>
    <t>FPV</t>
  </si>
  <si>
    <t>kg/m³</t>
  </si>
  <si>
    <t>1m³=200kg</t>
  </si>
  <si>
    <t>Costo preparación por pedido</t>
  </si>
  <si>
    <t>PREP</t>
  </si>
  <si>
    <t>Picking+empaque</t>
  </si>
  <si>
    <t>Tasa devoluciones online</t>
  </si>
  <si>
    <t>DEV</t>
  </si>
  <si>
    <t>4% pedidos</t>
  </si>
  <si>
    <t>Nivel mínimo courier</t>
  </si>
  <si>
    <t>NS_COUR</t>
  </si>
  <si>
    <t>KPI</t>
  </si>
  <si>
    <t>ALMACÉN</t>
  </si>
  <si>
    <t>Área total</t>
  </si>
  <si>
    <t>AREA</t>
  </si>
  <si>
    <t>m²</t>
  </si>
  <si>
    <t>Costo total almacén/mes</t>
  </si>
  <si>
    <t>CST_ALM</t>
  </si>
  <si>
    <t>Costo semestral almacén</t>
  </si>
  <si>
    <t>CST_ALM_S</t>
  </si>
  <si>
    <t>TABLA 1 – LISTA OFICIAL DE MERCADERÍA  |  CBM, Pesos y Valores FOB</t>
  </si>
  <si>
    <t>Código</t>
  </si>
  <si>
    <t>Producto</t>
  </si>
  <si>
    <t>Categoría</t>
  </si>
  <si>
    <t>Cantidad
Semestral</t>
  </si>
  <si>
    <t>Peso Unit.
(kg)</t>
  </si>
  <si>
    <t>Vol. Unit.
(m³)</t>
  </si>
  <si>
    <t>FOB Unit.
(USD)</t>
  </si>
  <si>
    <t>CBM Total
(m³)</t>
  </si>
  <si>
    <t>Peso Total
(kg)</t>
  </si>
  <si>
    <t>Valor FOB
Total (USD)</t>
  </si>
  <si>
    <t>Costo Unit.
Almacén (Bs)</t>
  </si>
  <si>
    <t>Precio Venta
Ref. (Bs)</t>
  </si>
  <si>
    <t>DSP-RUN-001</t>
  </si>
  <si>
    <t>Zapatillas running</t>
  </si>
  <si>
    <t>Calzado</t>
  </si>
  <si>
    <t>DSP-TRN-002</t>
  </si>
  <si>
    <t>Zapatillas training</t>
  </si>
  <si>
    <t>BAL-FUT-003</t>
  </si>
  <si>
    <t>Balón fútbol Nº5</t>
  </si>
  <si>
    <t>Dep. equipo</t>
  </si>
  <si>
    <t>BAL-FUTS-004</t>
  </si>
  <si>
    <t>Balón futsal</t>
  </si>
  <si>
    <t>BAL-BASK-005</t>
  </si>
  <si>
    <t>Balón básquet</t>
  </si>
  <si>
    <t>FIT-YOG-006</t>
  </si>
  <si>
    <t>Mat yoga/fitness</t>
  </si>
  <si>
    <t>Fitness</t>
  </si>
  <si>
    <t>FIT-BAN-007</t>
  </si>
  <si>
    <t>Set bandas resistencia</t>
  </si>
  <si>
    <t>FIT-ROP-008</t>
  </si>
  <si>
    <t>Cuerda de salto</t>
  </si>
  <si>
    <t>FIT-DB2-009</t>
  </si>
  <si>
    <t>Par mancuernas 2 kg</t>
  </si>
  <si>
    <t>FIT-DB5-010</t>
  </si>
  <si>
    <t>Par mancuernas 5 kg</t>
  </si>
  <si>
    <t>ACC-GLO-011</t>
  </si>
  <si>
    <t>Guantes de gimnasio</t>
  </si>
  <si>
    <t>Accesorios</t>
  </si>
  <si>
    <t>ACC-BAG-012</t>
  </si>
  <si>
    <t>Mochila deportiva</t>
  </si>
  <si>
    <t>ACC-BOT-013</t>
  </si>
  <si>
    <t>Botella deportiva 750ml</t>
  </si>
  <si>
    <t>APP-JER-014</t>
  </si>
  <si>
    <t>Polera dry-fit</t>
  </si>
  <si>
    <t>Indumentaria</t>
  </si>
  <si>
    <t>APP-SHO-015</t>
  </si>
  <si>
    <t>Short deportivo</t>
  </si>
  <si>
    <t>APP-LEG-016</t>
  </si>
  <si>
    <t>Legging deportivo</t>
  </si>
  <si>
    <t>APP-SOC-017</t>
  </si>
  <si>
    <t>Pack medias deportivas</t>
  </si>
  <si>
    <t>ACC-CAP-018</t>
  </si>
  <si>
    <t>Gorra deportiva</t>
  </si>
  <si>
    <t>TEAM-CON-019</t>
  </si>
  <si>
    <t>Set conos entrenamiento</t>
  </si>
  <si>
    <t>TEAM-SHI-020</t>
  </si>
  <si>
    <t>Par canilleras</t>
  </si>
  <si>
    <t>TOTAL</t>
  </si>
  <si>
    <t>Notas: CBM Total = Cantidad × Vol. unitario  |  Peso Total = Cantidad × Peso unitario  |  Costo almacén = FOB × Multiplicador (96,621/68,475=1.411) × TCC 6.96 Bs/USD  |  Precio venta = Costo almacén / (1 – margen categoría)</t>
  </si>
  <si>
    <t>TABLA 2 – MATRIZ DE DEMANDA SEMESTRAL POR UBICACIÓN Y DISTRIBUCIÓN ONLINE</t>
  </si>
  <si>
    <t>Cochabamba</t>
  </si>
  <si>
    <t>La Paz</t>
  </si>
  <si>
    <t>Santa Cruz</t>
  </si>
  <si>
    <t>ONLINE total</t>
  </si>
  <si>
    <t>DISTRIBUCIÓN ONLINE POR DEPARTAMENTO</t>
  </si>
  <si>
    <t>Tarija</t>
  </si>
  <si>
    <t>Chuquisaca</t>
  </si>
  <si>
    <t>Oruro</t>
  </si>
  <si>
    <t>Potosí</t>
  </si>
  <si>
    <t>Beni</t>
  </si>
  <si>
    <t>Pando</t>
  </si>
  <si>
    <t>Dem.
Mensual</t>
  </si>
  <si>
    <t>Dem.
Diaria</t>
  </si>
  <si>
    <t>PARTICIPACIÓN CANAL ONLINE POR DEPARTAMENTO</t>
  </si>
  <si>
    <t>Departamento</t>
  </si>
  <si>
    <t>Participación</t>
  </si>
  <si>
    <t>Unidades estimadas</t>
  </si>
  <si>
    <t>TABLA 3 – ESTRUCTURA DE COSTOS DE IMPORTACIÓN HASTA ALMACÉN COCHABAMBA</t>
  </si>
  <si>
    <t>N°</t>
  </si>
  <si>
    <t>Concepto</t>
  </si>
  <si>
    <t>Base de cálculo</t>
  </si>
  <si>
    <t>Importe USD</t>
  </si>
  <si>
    <t>Importe Bs</t>
  </si>
  <si>
    <t>% sobre FOB</t>
  </si>
  <si>
    <t>Valor FOB mercadería</t>
  </si>
  <si>
    <t>Tabla T1 – suma productos</t>
  </si>
  <si>
    <t>Flete marítimo internacional</t>
  </si>
  <si>
    <t>Panamá→Callao→Desaguadero (ref. naviera)</t>
  </si>
  <si>
    <t>Seguro internacional</t>
  </si>
  <si>
    <t>0.70% × FOB</t>
  </si>
  <si>
    <t>SUBTOTAL C.I.F.</t>
  </si>
  <si>
    <t>Gastos documentales y bancarios</t>
  </si>
  <si>
    <t>350 USD fijos por embarque</t>
  </si>
  <si>
    <t>Gastos portuarios y terminal</t>
  </si>
  <si>
    <t>1.200 USD por contenedor</t>
  </si>
  <si>
    <t>Agencia despachante de aduana</t>
  </si>
  <si>
    <t>0.80% CIF mín. 300 USD</t>
  </si>
  <si>
    <t>Transporte interno hasta Cbba</t>
  </si>
  <si>
    <t>2.200 USD por contenedor</t>
  </si>
  <si>
    <t>Merma logística esperada</t>
  </si>
  <si>
    <t>1% × FOB</t>
  </si>
  <si>
    <t>SUBTOTAL COSTOS LOGÍSTICOS</t>
  </si>
  <si>
    <t>(sin tributos)</t>
  </si>
  <si>
    <t>Gravamen Arancelario (GA)</t>
  </si>
  <si>
    <t>10% × CIF</t>
  </si>
  <si>
    <t>IVA importación efectivo</t>
  </si>
  <si>
    <t>14.94% × Base imponible (CIF+GA)</t>
  </si>
  <si>
    <t>SUBTOTAL TRIBUTOS ADUANEROS</t>
  </si>
  <si>
    <t>GA + IVA importación</t>
  </si>
  <si>
    <t>COSTO TOTAL HASTA ALMACÉN COCHABAMBA</t>
  </si>
  <si>
    <t>Nota: Flete 3,500 USD supuesto razonable para contenedor 40' Panamá→Bolivia vía Callao-Desaguadero (referencia rutas marítimas Maersk/CMA-CGM 2025).  GA=10% y IVA=14.94% son valores académicos referenciales; en importación real verificar partida arancelaria.</t>
  </si>
  <si>
    <t>TABLA 4 – CLASIFICACIÓN ABC DE INVENTARIOS  |  Por Valor FOB Total</t>
  </si>
  <si>
    <t>Rango</t>
  </si>
  <si>
    <t>% Valor</t>
  </si>
  <si>
    <t>% Acumulado</t>
  </si>
  <si>
    <t>Clase ABC</t>
  </si>
  <si>
    <t>A</t>
  </si>
  <si>
    <t>B</t>
  </si>
  <si>
    <t>C</t>
  </si>
  <si>
    <t>RESUMEN POR CLASE</t>
  </si>
  <si>
    <t>Clase</t>
  </si>
  <si>
    <t>N° SKU</t>
  </si>
  <si>
    <t>Valor FOB (USD)</t>
  </si>
  <si>
    <t>SKU objetivo</t>
  </si>
  <si>
    <t>Política inventario</t>
  </si>
  <si>
    <t>NS</t>
  </si>
  <si>
    <t>Sistema</t>
  </si>
  <si>
    <t>11</t>
  </si>
  <si>
    <t>11 de 20</t>
  </si>
  <si>
    <t>Alta rotación – bajo stock</t>
  </si>
  <si>
    <t>95%</t>
  </si>
  <si>
    <t>Sistema Q</t>
  </si>
  <si>
    <t>5</t>
  </si>
  <si>
    <t>5 de 20</t>
  </si>
  <si>
    <t>Rotación media</t>
  </si>
  <si>
    <t>90%</t>
  </si>
  <si>
    <t>Sistema P (30 días)</t>
  </si>
  <si>
    <t>4</t>
  </si>
  <si>
    <t>4 de 20</t>
  </si>
  <si>
    <t>Rotación baja</t>
  </si>
  <si>
    <t>85%</t>
  </si>
  <si>
    <t>TABLA 5 – MODELO EOQ  |  Reposición Interna Almacén Central → Tiendas/Canal Online</t>
  </si>
  <si>
    <t>Clase
ABC</t>
  </si>
  <si>
    <t>D
Semestral</t>
  </si>
  <si>
    <t>D
Mensual
(D/6)</t>
  </si>
  <si>
    <t>FOB unit.
(USD)</t>
  </si>
  <si>
    <t>Costo Unit.
Almacén
(Bs)</t>
  </si>
  <si>
    <t>H = 2%×Cu
(Bs/mes)</t>
  </si>
  <si>
    <t>S = Costo
Orden (Bs)</t>
  </si>
  <si>
    <t>EOQ = √(2DS/H)</t>
  </si>
  <si>
    <t>Nº Órdenes
/semestre</t>
  </si>
  <si>
    <t>Costo total
inventario (Bs)</t>
  </si>
  <si>
    <t>Obs.</t>
  </si>
  <si>
    <t>Sistema Q (reposición continua)</t>
  </si>
  <si>
    <t>Sistema P (revisión 30 días)</t>
  </si>
  <si>
    <t>Fórmula EOQ = SQRT(2×D_mensual×S/H)  |  D: demanda mensual (unidades/mes)  |  S: costo orden interna = 85 Bs  |  H: 2% mensual × costo unitario puesto en almacén  |  Aplicación: reposición interna almacén→tiendas (NO a importación semestral)</t>
  </si>
  <si>
    <t>Multiplicador costo puesto en almacén = Costo total importación / FOB total = 1.411 (≈ CT_USD/FOB_USD)  |  En Bs = FOB_unit × 1.411 × 6.96 Bs/USD</t>
  </si>
  <si>
    <t>TABLA 6 – STOCK DE SEGURIDAD, PUNTO DE REORDEN E INVENTARIO PROMEDIO</t>
  </si>
  <si>
    <t>D Diaria
(unid/día)</t>
  </si>
  <si>
    <t>σ Diaria
(unid/día)</t>
  </si>
  <si>
    <t>Z nivel
servicio</t>
  </si>
  <si>
    <t>LT
(días)</t>
  </si>
  <si>
    <t>SS = Z×σ×√LT</t>
  </si>
  <si>
    <t>ROP = D×LT+SS</t>
  </si>
  <si>
    <t>EOQ
(unid)</t>
  </si>
  <si>
    <t>Inv. Promedio
EOQ/2+SS</t>
  </si>
  <si>
    <t>Cobertura
(días)</t>
  </si>
  <si>
    <t>SS = Z × σ × √LT  |  σ_diaria = variabilidad × D_diaria  |  LT = 7 días operativos (tiempo reposición interna)  |  Sistema Q aplica a clase A (monitoreo continuo)  |  Sistema P aplica a clase B y C (revisión cada 30 días)</t>
  </si>
  <si>
    <t>TABLA 7 – COSTOS DE DISTRIBUCIÓN A TIENDAS FÍSICAS (SEMESTRAL)</t>
  </si>
  <si>
    <t>Ruta</t>
  </si>
  <si>
    <t>Frecuencia base</t>
  </si>
  <si>
    <t>Despachos
/semestre</t>
  </si>
  <si>
    <t>Costo base
por despacho
(Bs)</t>
  </si>
  <si>
    <t>Costo fijo
semestral (Bs)</t>
  </si>
  <si>
    <t>Unidades
enviadas</t>
  </si>
  <si>
    <t>Costo
manipuleo (Bs)</t>
  </si>
  <si>
    <t>COSTO TOTAL
RUTA (Bs)</t>
  </si>
  <si>
    <t>Almacén Cbba → Tienda Cochabamba</t>
  </si>
  <si>
    <t>Cochabamba → La Paz</t>
  </si>
  <si>
    <t>Cochabamba → Santa Cruz</t>
  </si>
  <si>
    <t>TOTAL DISTRIBUCIÓN SEMESTRAL</t>
  </si>
  <si>
    <t>ANÁLISIS ADICIONAL DE DISTRIBUCIÓN</t>
  </si>
  <si>
    <t>Costo almacén semestral (Bs)</t>
  </si>
  <si>
    <t>Costo distribución semestral (Bs)</t>
  </si>
  <si>
    <t>Total logística nacional semestral (Bs)</t>
  </si>
  <si>
    <t>Costo logístico / unidad distribuida (Bs)</t>
  </si>
  <si>
    <t>Costo distribución / total FOB en Bs</t>
  </si>
  <si>
    <t>TABLA 8 – COSTOS DE ÚLTIMA MILLA  |  Canal Online por Departamento</t>
  </si>
  <si>
    <t>Particip.
Online</t>
  </si>
  <si>
    <t>Unidades
Online</t>
  </si>
  <si>
    <t>Peso Real
Unit.(kg)</t>
  </si>
  <si>
    <t>Peso Volum.
Unit. (kg)</t>
  </si>
  <si>
    <t>Peso Facturable
(kg/unid)</t>
  </si>
  <si>
    <t>Tarifa
Courier
(Bs/kg)</t>
  </si>
  <si>
    <t>Costo
Courier
(Bs/unid)</t>
  </si>
  <si>
    <t>Mín.
Envío
(Bs)</t>
  </si>
  <si>
    <t>Costo efectivo
/unidad (Bs)</t>
  </si>
  <si>
    <t>Costo preparac.
/pedido (Bs)</t>
  </si>
  <si>
    <t>Costo total
dept. (Bs)</t>
  </si>
  <si>
    <t>100%</t>
  </si>
  <si>
    <t>RESUMEN ÚLTIMA MILLA</t>
  </si>
  <si>
    <t>Total unidades online</t>
  </si>
  <si>
    <t>Costo total semestral último milla (Bs)</t>
  </si>
  <si>
    <t>Costo promedio por pedido (Bs)</t>
  </si>
  <si>
    <t>Costo courier / total FOB en Bs</t>
  </si>
  <si>
    <t>Peso facturable promedio (kg/unidad)</t>
  </si>
  <si>
    <t>TABLA 9 – KPI LOGÍSTICOS  |  Definidos, Calculados e Interpretados</t>
  </si>
  <si>
    <t>Área</t>
  </si>
  <si>
    <t>Fórmula</t>
  </si>
  <si>
    <t>Datos utilizados</t>
  </si>
  <si>
    <t>Resultado
Calculado</t>
  </si>
  <si>
    <t>Meta
Mínima</t>
  </si>
  <si>
    <t>Estado</t>
  </si>
  <si>
    <t>Abastecimiento</t>
  </si>
  <si>
    <t>Cumplimiento del proveedor</t>
  </si>
  <si>
    <t>Entregas a tiempo / Total pedidos</t>
  </si>
  <si>
    <t>96/100 pedidos pactados (escenario estimado)</t>
  </si>
  <si>
    <t>✓ CUMPLE</t>
  </si>
  <si>
    <t>Importación</t>
  </si>
  <si>
    <t>Costo logístico / Valor FOB</t>
  </si>
  <si>
    <t>Costos logísticos / FOB</t>
  </si>
  <si>
    <t>Tiempo total ciclo importación (días)</t>
  </si>
  <si>
    <t>LT preparación + doc + transporte + aduana + entrega</t>
  </si>
  <si>
    <t>7+5+20+10+3 = 45 días calendario</t>
  </si>
  <si>
    <t>Almacén</t>
  </si>
  <si>
    <t>Exactitud de inventario</t>
  </si>
  <si>
    <t>Ubicaciones correctas / Total ubicaciones × 100</t>
  </si>
  <si>
    <t>Supuesto mínimo de operación = 97%</t>
  </si>
  <si>
    <t>Productividad de picking (tiendas)</t>
  </si>
  <si>
    <t>Líneas procesadas / Horas-persona</t>
  </si>
  <si>
    <t>45 líneas/h según parámetros almacén</t>
  </si>
  <si>
    <t>Inventarios</t>
  </si>
  <si>
    <t>Rotación de inventario (DSP-RUN-001)</t>
  </si>
  <si>
    <t>Demanda semestral / Inventario promedio</t>
  </si>
  <si>
    <t>Referencial</t>
  </si>
  <si>
    <t>Cobertura de stock (días) – DSP-RUN-001</t>
  </si>
  <si>
    <t>Inventario promedio / Demanda diaria</t>
  </si>
  <si>
    <t>Distribución</t>
  </si>
  <si>
    <t>Entregas nacionales a tiempo</t>
  </si>
  <si>
    <t>Entregas ≤ LT acordado / Total entregas</t>
  </si>
  <si>
    <t>92/100 entregas estimadas (≤1 día tolerancia)</t>
  </si>
  <si>
    <t>Última milla</t>
  </si>
  <si>
    <t>Costo promedio por entrega Courier (Bs)</t>
  </si>
  <si>
    <t>Costo total courier / Nº pedidos</t>
  </si>
  <si>
    <t>Serv. cliente</t>
  </si>
  <si>
    <t>Fill Rate general</t>
  </si>
  <si>
    <t>Pedidos completados al 100% / Total pedidos</t>
  </si>
  <si>
    <t>Supuesto operativo: 94% (15.550 unidades disponibles)</t>
  </si>
  <si>
    <t>Exactitud de picking</t>
  </si>
  <si>
    <t>Líneas correctas / Total líneas picking × 100</t>
  </si>
  <si>
    <t>98% según parámetros mínimos</t>
  </si>
  <si>
    <t>Cumplimiento entregas Courier</t>
  </si>
  <si>
    <t>Entregas en plazo / Total envíos</t>
  </si>
  <si>
    <t>90% courier (supuesto conservador Bolivia)</t>
  </si>
  <si>
    <t>TABLA 10 – MATRIZ DE EVALUACIÓN PONDERADA DE PROVEEDORES EN PANAMÁ</t>
  </si>
  <si>
    <t>Criterio</t>
  </si>
  <si>
    <t>Ponderación
(%)</t>
  </si>
  <si>
    <t>Global Sports Export S.A. – Zona Libre de Colón</t>
  </si>
  <si>
    <t>DeporSport Internacional S.A.</t>
  </si>
  <si>
    <t>Sport Mayoristas Colón</t>
  </si>
  <si>
    <t>Nota (1-5)</t>
  </si>
  <si>
    <t>Puntaje
ponderado</t>
  </si>
  <si>
    <t>Precio / condiciones comerciales</t>
  </si>
  <si>
    <t>Capacidad de suministro (15.550 unid/sem)</t>
  </si>
  <si>
    <t>Calidad de producto y certificaciones</t>
  </si>
  <si>
    <t>Tiempo de entrega (lead time proveedor)</t>
  </si>
  <si>
    <t>Condiciones de pago (crédito/plazo)</t>
  </si>
  <si>
    <t>Certificaciones (ISO/REACH/RoHS)</t>
  </si>
  <si>
    <t>Flexibilidad pedidos mínimos</t>
  </si>
  <si>
    <t>Experiencia exportadora Bolivia/Sudamérica</t>
  </si>
  <si>
    <t>PUNTAJE TOTAL PONDERADO</t>
  </si>
  <si>
    <t>PROVEEDOR PRINCIPAL: Global Sports Export S.A. (ZLC) – Puntaje: 3.99/5.00  |  PROVEEDOR ALTERNATIVO: Sport Mayoristas Colón – Puntaje: 3.94/5.00</t>
  </si>
  <si>
    <t>Global Sports Export S.A. | Zona Libre de Colón (ZLC), Panamá</t>
  </si>
  <si>
    <t>Distribuidor regional con experiencia exportadora a Sudamérica. Catálogo: calzado deportivo, fitness, accesorios. Condiciones: 30 días plazo pago, MOQ 500 unidades, FOB Colón. Web: zonalibredecolon.com/directorio</t>
  </si>
  <si>
    <t>DeporSport Internacional S.A. | Ciudad de Panamá</t>
  </si>
  <si>
    <t>Fabricante/importador con línea propia de fitness y calzado. Certificaciones ISO 9001. Precios ligeramente superiores pero alta calidad. Crédito 45 días. Web: promerica-trade.com</t>
  </si>
  <si>
    <t>Sport Mayoristas Colón | Zona Libre de Colón (ZLC), Panamá</t>
  </si>
  <si>
    <t>Comercializadora de zona franca con amplio stock. Menores precios, mayor flexibilidad de pedido. Precios spot. Contacto: caci.com.pa (Cámara de Comercio ZLC)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</si>
</sst>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"/>
    <numFmt numFmtId="165" formatCode="#,##0.000"/>
    <numFmt numFmtId="166" formatCode="#,##0.0"/>
    <numFmt numFmtId="167" formatCode="#,##0.00000"/>
    <numFmt numFmtId="168" formatCode="0.0%"/>
  </numFmts>
  <fonts count="21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2.0"/>
      <color rgb="FFFFFFFF"/>
      <name val="Arial"/>
    </font>
    <font>
      <b/>
      <sz val="11.0"/>
      <color rgb="FFFFFFFF"/>
      <name val="Arial"/>
    </font>
    <font>
      <b/>
      <sz val="11.0"/>
      <color rgb="FF1F3864"/>
      <name val="Arial"/>
    </font>
    <font>
      <sz val="11.0"/>
      <color theme="1"/>
      <name val="Calibri"/>
    </font>
    <font>
      <sz val="11.0"/>
      <color rgb="FF00008B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sz val="11.0"/>
      <color rgb="FF000000"/>
      <name val="Arial"/>
    </font>
    <font>
      <sz val="11.0"/>
      <color rgb="FF006400"/>
      <name val="Arial"/>
    </font>
    <font>
      <sz val="11.0"/>
      <color rgb="FF7B2C2C"/>
      <name val="Arial"/>
    </font>
    <font>
      <i/>
      <sz val="9.0"/>
      <color rgb="FF444444"/>
      <name val="Arial"/>
    </font>
    <font>
      <b/>
      <sz val="10.0"/>
      <color rgb="FF1F3864"/>
      <name val="Arial"/>
    </font>
    <font>
      <b/>
      <sz val="9.0"/>
      <color rgb="FF1F3864"/>
      <name val="Arial"/>
    </font>
    <font>
      <b/>
      <sz val="11.0"/>
      <color rgb="FF000000"/>
      <name val="Arial"/>
    </font>
    <font>
      <i/>
      <sz val="9.0"/>
      <color rgb="FF000000"/>
      <name val="Arial"/>
    </font>
    <font>
      <sz val="9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7"/>
        <bgColor rgb="FFD6E4F7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4" numFmtId="0" xfId="0" applyBorder="1" applyFont="1"/>
    <xf borderId="5" fillId="4" fontId="5" numFmtId="0" xfId="0" applyBorder="1" applyFill="1" applyFont="1"/>
    <xf borderId="5" fillId="5" fontId="6" numFmtId="0" xfId="0" applyAlignment="1" applyBorder="1" applyFill="1" applyFont="1">
      <alignment horizontal="left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left" shrinkToFit="0" vertical="center" wrapText="1"/>
    </xf>
    <xf borderId="5" fillId="6" fontId="10" numFmtId="3" xfId="0" applyAlignment="1" applyBorder="1" applyFont="1" applyNumberFormat="1">
      <alignment horizontal="center" shrinkToFit="0" vertical="center" wrapText="1"/>
    </xf>
    <xf borderId="5" fillId="6" fontId="10" numFmtId="4" xfId="0" applyAlignment="1" applyBorder="1" applyFont="1" applyNumberFormat="1">
      <alignment horizontal="center" shrinkToFit="0" vertical="center" wrapText="1"/>
    </xf>
    <xf borderId="5" fillId="6" fontId="10" numFmtId="164" xfId="0" applyAlignment="1" applyBorder="1" applyFont="1" applyNumberFormat="1">
      <alignment horizontal="center" shrinkToFit="0" vertical="center" wrapText="1"/>
    </xf>
    <xf borderId="5" fillId="6" fontId="11" numFmtId="4" xfId="0" applyAlignment="1" applyBorder="1" applyFont="1" applyNumberFormat="1">
      <alignment horizontal="center" shrinkToFit="0" vertical="center" wrapText="1"/>
    </xf>
    <xf borderId="5" fillId="6" fontId="12" numFmtId="4" xfId="0" applyAlignment="1" applyBorder="1" applyFont="1" applyNumberFormat="1">
      <alignment horizontal="center" shrinkToFit="0" vertical="center" wrapText="1"/>
    </xf>
    <xf borderId="5" fillId="5" fontId="10" numFmtId="0" xfId="0" applyAlignment="1" applyBorder="1" applyFont="1">
      <alignment horizontal="left" shrinkToFit="0" vertical="center" wrapText="1"/>
    </xf>
    <xf borderId="5" fillId="5" fontId="10" numFmtId="3" xfId="0" applyAlignment="1" applyBorder="1" applyFont="1" applyNumberFormat="1">
      <alignment horizontal="center" shrinkToFit="0" vertical="center" wrapText="1"/>
    </xf>
    <xf borderId="5" fillId="5" fontId="10" numFmtId="4" xfId="0" applyAlignment="1" applyBorder="1" applyFont="1" applyNumberFormat="1">
      <alignment horizontal="center" shrinkToFit="0" vertical="center" wrapText="1"/>
    </xf>
    <xf borderId="5" fillId="5" fontId="10" numFmtId="164" xfId="0" applyAlignment="1" applyBorder="1" applyFont="1" applyNumberFormat="1">
      <alignment horizontal="center" shrinkToFit="0" vertical="center" wrapText="1"/>
    </xf>
    <xf borderId="5" fillId="5" fontId="11" numFmtId="4" xfId="0" applyAlignment="1" applyBorder="1" applyFont="1" applyNumberFormat="1">
      <alignment horizontal="center" shrinkToFit="0" vertical="center" wrapText="1"/>
    </xf>
    <xf borderId="5" fillId="5" fontId="12" numFmtId="4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5" fillId="2" fontId="4" numFmtId="3" xfId="0" applyAlignment="1" applyBorder="1" applyFont="1" applyNumberFormat="1">
      <alignment horizontal="center" shrinkToFit="0" vertical="center" wrapText="1"/>
    </xf>
    <xf borderId="5" fillId="2" fontId="6" numFmtId="0" xfId="0" applyBorder="1" applyFont="1"/>
    <xf borderId="5" fillId="2" fontId="4" numFmtId="164" xfId="0" applyAlignment="1" applyBorder="1" applyFont="1" applyNumberFormat="1">
      <alignment horizontal="center" shrinkToFit="0" vertical="center" wrapText="1"/>
    </xf>
    <xf borderId="5" fillId="2" fontId="4" numFmtId="4" xfId="0" applyAlignment="1" applyBorder="1" applyFont="1" applyNumberFormat="1">
      <alignment horizontal="center" shrinkToFit="0" vertical="center" wrapText="1"/>
    </xf>
    <xf borderId="1" fillId="7" fontId="13" numFmtId="0" xfId="0" applyAlignment="1" applyBorder="1" applyFill="1" applyFont="1">
      <alignment horizontal="left" shrinkToFit="0" vertical="center" wrapText="1"/>
    </xf>
    <xf borderId="6" fillId="8" fontId="1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4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ill="1" applyFont="1">
      <alignment horizontal="center" shrinkToFit="0" vertical="center" wrapText="1"/>
    </xf>
    <xf borderId="5" fillId="5" fontId="10" numFmtId="165" xfId="0" applyAlignment="1" applyBorder="1" applyFont="1" applyNumberFormat="1">
      <alignment horizontal="center" shrinkToFit="0" vertical="center" wrapText="1"/>
    </xf>
    <xf borderId="5" fillId="6" fontId="10" numFmtId="165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5" fontId="6" numFmtId="9" xfId="0" applyAlignment="1" applyBorder="1" applyFont="1" applyNumberFormat="1">
      <alignment horizontal="center" shrinkToFit="0" vertical="center" wrapText="1"/>
    </xf>
    <xf borderId="5" fillId="5" fontId="6" numFmtId="3" xfId="0" applyAlignment="1" applyBorder="1" applyFont="1" applyNumberFormat="1">
      <alignment horizontal="center" shrinkToFit="0" vertical="center" wrapText="1"/>
    </xf>
    <xf borderId="5" fillId="6" fontId="6" numFmtId="9" xfId="0" applyAlignment="1" applyBorder="1" applyFont="1" applyNumberFormat="1">
      <alignment horizontal="center" shrinkToFit="0" vertical="center" wrapText="1"/>
    </xf>
    <xf borderId="5" fillId="6" fontId="6" numFmtId="3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6" fontId="17" numFmtId="0" xfId="0" applyAlignment="1" applyBorder="1" applyFont="1">
      <alignment horizontal="left" shrinkToFit="0" vertical="center" wrapText="1"/>
    </xf>
    <xf borderId="5" fillId="6" fontId="10" numFmtId="10" xfId="0" applyAlignment="1" applyBorder="1" applyFont="1" applyNumberForma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5" fontId="17" numFmtId="0" xfId="0" applyAlignment="1" applyBorder="1" applyFont="1">
      <alignment horizontal="left" shrinkToFit="0" vertical="center" wrapText="1"/>
    </xf>
    <xf borderId="5" fillId="5" fontId="10" numFmtId="10" xfId="0" applyAlignment="1" applyBorder="1" applyFont="1" applyNumberForma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left" shrinkToFit="0" vertical="center" wrapText="1"/>
    </xf>
    <xf borderId="5" fillId="4" fontId="18" numFmtId="0" xfId="0" applyAlignment="1" applyBorder="1" applyFont="1">
      <alignment horizontal="left" shrinkToFit="0" vertical="center" wrapText="1"/>
    </xf>
    <xf borderId="5" fillId="4" fontId="4" numFmtId="4" xfId="0" applyAlignment="1" applyBorder="1" applyFont="1" applyNumberFormat="1">
      <alignment horizontal="center" shrinkToFit="0" vertical="center" wrapText="1"/>
    </xf>
    <xf borderId="5" fillId="4" fontId="4" numFmtId="10" xfId="0" applyAlignment="1" applyBorder="1" applyFont="1" applyNumberFormat="1">
      <alignment horizontal="center" shrinkToFit="0" vertical="center" wrapText="1"/>
    </xf>
    <xf borderId="5" fillId="2" fontId="4" numFmtId="0" xfId="0" applyAlignment="1" applyBorder="1" applyFont="1">
      <alignment horizontal="left" shrinkToFit="0" vertical="center" wrapText="1"/>
    </xf>
    <xf borderId="5" fillId="2" fontId="18" numFmtId="0" xfId="0" applyAlignment="1" applyBorder="1" applyFont="1">
      <alignment horizontal="left" shrinkToFit="0" vertical="center" wrapText="1"/>
    </xf>
    <xf borderId="5" fillId="2" fontId="4" numFmtId="10" xfId="0" applyAlignment="1" applyBorder="1" applyFont="1" applyNumberFormat="1">
      <alignment horizontal="center" shrinkToFit="0" vertical="center" wrapText="1"/>
    </xf>
    <xf borderId="5" fillId="10" fontId="16" numFmtId="0" xfId="0" applyAlignment="1" applyBorder="1" applyFill="1" applyFont="1">
      <alignment horizontal="center" shrinkToFit="0" vertical="center" wrapText="1"/>
    </xf>
    <xf borderId="5" fillId="9" fontId="16" numFmtId="0" xfId="0" applyAlignment="1" applyBorder="1" applyFont="1">
      <alignment horizontal="center" shrinkToFit="0" vertical="center" wrapText="1"/>
    </xf>
    <xf borderId="5" fillId="11" fontId="16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5" fillId="10" fontId="10" numFmtId="0" xfId="0" applyAlignment="1" applyBorder="1" applyFont="1">
      <alignment horizontal="center" shrinkToFit="0" vertical="center" wrapText="1"/>
    </xf>
    <xf borderId="5" fillId="10" fontId="10" numFmtId="4" xfId="0" applyAlignment="1" applyBorder="1" applyFont="1" applyNumberFormat="1">
      <alignment horizontal="center" shrinkToFit="0" vertical="center" wrapText="1"/>
    </xf>
    <xf borderId="5" fillId="10" fontId="10" numFmtId="10" xfId="0" applyAlignment="1" applyBorder="1" applyFont="1" applyNumberFormat="1">
      <alignment horizontal="center" shrinkToFit="0" vertical="center" wrapText="1"/>
    </xf>
    <xf borderId="5" fillId="10" fontId="10" numFmtId="0" xfId="0" applyAlignment="1" applyBorder="1" applyFont="1">
      <alignment horizontal="left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5" fillId="9" fontId="10" numFmtId="4" xfId="0" applyAlignment="1" applyBorder="1" applyFont="1" applyNumberFormat="1">
      <alignment horizontal="center" shrinkToFit="0" vertical="center" wrapText="1"/>
    </xf>
    <xf borderId="5" fillId="9" fontId="10" numFmtId="10" xfId="0" applyAlignment="1" applyBorder="1" applyFont="1" applyNumberFormat="1">
      <alignment horizontal="center" shrinkToFit="0" vertical="center" wrapText="1"/>
    </xf>
    <xf borderId="5" fillId="9" fontId="10" numFmtId="0" xfId="0" applyAlignment="1" applyBorder="1" applyFont="1">
      <alignment horizontal="left" shrinkToFit="0" vertical="center" wrapText="1"/>
    </xf>
    <xf borderId="5" fillId="11" fontId="10" numFmtId="0" xfId="0" applyAlignment="1" applyBorder="1" applyFont="1">
      <alignment horizontal="center" shrinkToFit="0" vertical="center" wrapText="1"/>
    </xf>
    <xf borderId="5" fillId="11" fontId="10" numFmtId="4" xfId="0" applyAlignment="1" applyBorder="1" applyFont="1" applyNumberFormat="1">
      <alignment horizontal="center" shrinkToFit="0" vertical="center" wrapText="1"/>
    </xf>
    <xf borderId="5" fillId="11" fontId="10" numFmtId="10" xfId="0" applyAlignment="1" applyBorder="1" applyFont="1" applyNumberFormat="1">
      <alignment horizontal="center" shrinkToFit="0" vertical="center" wrapText="1"/>
    </xf>
    <xf borderId="5" fillId="11" fontId="10" numFmtId="0" xfId="0" applyAlignment="1" applyBorder="1" applyFont="1">
      <alignment horizontal="left" shrinkToFit="0" vertical="center" wrapText="1"/>
    </xf>
    <xf borderId="5" fillId="3" fontId="19" numFmtId="0" xfId="0" applyAlignment="1" applyBorder="1" applyFont="1">
      <alignment horizontal="center" shrinkToFit="0" vertical="center" wrapText="1"/>
    </xf>
    <xf borderId="5" fillId="6" fontId="7" numFmtId="3" xfId="0" applyAlignment="1" applyBorder="1" applyFont="1" applyNumberFormat="1">
      <alignment horizontal="center" shrinkToFit="0" vertical="center" wrapText="1"/>
    </xf>
    <xf borderId="5" fillId="6" fontId="7" numFmtId="4" xfId="0" applyAlignment="1" applyBorder="1" applyFont="1" applyNumberFormat="1">
      <alignment horizontal="center" shrinkToFit="0" vertical="center" wrapText="1"/>
    </xf>
    <xf borderId="9" fillId="4" fontId="5" numFmtId="3" xfId="0" applyAlignment="1" applyBorder="1" applyFont="1" applyNumberFormat="1">
      <alignment horizontal="center" shrinkToFit="0" vertical="center" wrapText="1"/>
    </xf>
    <xf borderId="5" fillId="6" fontId="10" numFmtId="166" xfId="0" applyAlignment="1" applyBorder="1" applyFont="1" applyNumberFormat="1">
      <alignment horizontal="center" shrinkToFit="0" vertical="center" wrapText="1"/>
    </xf>
    <xf borderId="5" fillId="5" fontId="7" numFmtId="3" xfId="0" applyAlignment="1" applyBorder="1" applyFont="1" applyNumberFormat="1">
      <alignment horizontal="center" shrinkToFit="0" vertical="center" wrapText="1"/>
    </xf>
    <xf borderId="5" fillId="5" fontId="7" numFmtId="4" xfId="0" applyAlignment="1" applyBorder="1" applyFont="1" applyNumberFormat="1">
      <alignment horizontal="center" shrinkToFit="0" vertical="center" wrapText="1"/>
    </xf>
    <xf borderId="5" fillId="5" fontId="10" numFmtId="166" xfId="0" applyAlignment="1" applyBorder="1" applyFont="1" applyNumberFormat="1">
      <alignment horizontal="center" shrinkToFit="0" vertical="center" wrapText="1"/>
    </xf>
    <xf borderId="5" fillId="6" fontId="11" numFmtId="3" xfId="0" applyAlignment="1" applyBorder="1" applyFont="1" applyNumberFormat="1">
      <alignment horizontal="center" shrinkToFit="0" vertical="center" wrapText="1"/>
    </xf>
    <xf borderId="5" fillId="5" fontId="11" numFmtId="3" xfId="0" applyAlignment="1" applyBorder="1" applyFont="1" applyNumberFormat="1">
      <alignment horizontal="center" shrinkToFit="0" vertical="center" wrapText="1"/>
    </xf>
    <xf borderId="5" fillId="4" fontId="5" numFmtId="4" xfId="0" applyAlignment="1" applyBorder="1" applyFont="1" applyNumberFormat="1">
      <alignment horizontal="center" shrinkToFit="0" vertical="center" wrapText="1"/>
    </xf>
    <xf borderId="5" fillId="6" fontId="7" numFmtId="9" xfId="0" applyAlignment="1" applyBorder="1" applyFont="1" applyNumberFormat="1">
      <alignment horizontal="center" shrinkToFit="0" vertical="center" wrapText="1"/>
    </xf>
    <xf borderId="5" fillId="6" fontId="10" numFmtId="167" xfId="0" applyAlignment="1" applyBorder="1" applyFont="1" applyNumberFormat="1">
      <alignment horizontal="center" shrinkToFit="0" vertical="center" wrapText="1"/>
    </xf>
    <xf borderId="5" fillId="4" fontId="16" numFmtId="165" xfId="0" applyAlignment="1" applyBorder="1" applyFont="1" applyNumberFormat="1">
      <alignment horizontal="center" shrinkToFit="0" vertical="center" wrapText="1"/>
    </xf>
    <xf borderId="9" fillId="4" fontId="5" numFmtId="4" xfId="0" applyAlignment="1" applyBorder="1" applyFont="1" applyNumberFormat="1">
      <alignment horizontal="center" shrinkToFit="0" vertical="center" wrapText="1"/>
    </xf>
    <xf borderId="5" fillId="5" fontId="7" numFmtId="9" xfId="0" applyAlignment="1" applyBorder="1" applyFont="1" applyNumberFormat="1">
      <alignment horizontal="center" shrinkToFit="0" vertical="center" wrapText="1"/>
    </xf>
    <xf borderId="5" fillId="5" fontId="10" numFmtId="167" xfId="0" applyAlignment="1" applyBorder="1" applyFont="1" applyNumberFormat="1">
      <alignment horizontal="center" shrinkToFit="0" vertical="center" wrapText="1"/>
    </xf>
    <xf borderId="5" fillId="6" fontId="16" numFmtId="0" xfId="0" applyAlignment="1" applyBorder="1" applyFont="1">
      <alignment horizontal="left" shrinkToFit="0" vertical="center" wrapText="1"/>
    </xf>
    <xf borderId="5" fillId="6" fontId="5" numFmtId="168" xfId="0" applyAlignment="1" applyBorder="1" applyFont="1" applyNumberFormat="1">
      <alignment horizontal="center" shrinkToFit="0" vertical="center" wrapText="1"/>
    </xf>
    <xf borderId="5" fillId="6" fontId="10" numFmtId="168" xfId="0" applyAlignment="1" applyBorder="1" applyFont="1" applyNumberFormat="1">
      <alignment horizontal="center" shrinkToFit="0" vertical="center" wrapText="1"/>
    </xf>
    <xf borderId="5" fillId="5" fontId="16" numFmtId="0" xfId="0" applyAlignment="1" applyBorder="1" applyFont="1">
      <alignment horizontal="left" shrinkToFit="0" vertical="center" wrapText="1"/>
    </xf>
    <xf borderId="5" fillId="5" fontId="5" numFmtId="4" xfId="0" applyAlignment="1" applyBorder="1" applyFont="1" applyNumberFormat="1">
      <alignment horizontal="center" shrinkToFit="0" vertical="center" wrapText="1"/>
    </xf>
    <xf borderId="5" fillId="5" fontId="10" numFmtId="168" xfId="0" applyAlignment="1" applyBorder="1" applyFont="1" applyNumberFormat="1">
      <alignment horizontal="center" shrinkToFit="0" vertical="center" wrapText="1"/>
    </xf>
    <xf borderId="5" fillId="6" fontId="5" numFmtId="4" xfId="0" applyAlignment="1" applyBorder="1" applyFont="1" applyNumberFormat="1">
      <alignment horizontal="center" shrinkToFit="0" vertical="center" wrapText="1"/>
    </xf>
    <xf borderId="5" fillId="5" fontId="5" numFmtId="168" xfId="0" applyAlignment="1" applyBorder="1" applyFont="1" applyNumberFormat="1">
      <alignment horizontal="center" shrinkToFit="0" vertical="center" wrapText="1"/>
    </xf>
    <xf borderId="5" fillId="4" fontId="16" numFmtId="0" xfId="0" applyBorder="1" applyFont="1"/>
    <xf borderId="6" fillId="3" fontId="19" numFmtId="0" xfId="0" applyAlignment="1" applyBorder="1" applyFont="1">
      <alignment horizontal="center" shrinkToFit="0" vertical="center" wrapText="1"/>
    </xf>
    <xf borderId="5" fillId="4" fontId="20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15.0"/>
    <col customWidth="1" min="4" max="4" width="12.0"/>
    <col customWidth="1" min="5" max="5" width="40.0"/>
    <col customWidth="1" min="6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6"/>
      <c r="C5" s="6"/>
      <c r="D5" s="6"/>
      <c r="E5" s="6"/>
    </row>
    <row r="6">
      <c r="A6" s="7" t="s">
        <v>8</v>
      </c>
      <c r="B6" s="7" t="s">
        <v>9</v>
      </c>
      <c r="C6" s="8">
        <v>6.96</v>
      </c>
      <c r="D6" s="7" t="s">
        <v>10</v>
      </c>
      <c r="E6" s="7" t="s">
        <v>11</v>
      </c>
    </row>
    <row r="7">
      <c r="A7" s="9" t="s">
        <v>12</v>
      </c>
      <c r="B7" s="9" t="s">
        <v>13</v>
      </c>
      <c r="C7" s="10">
        <v>6.0</v>
      </c>
      <c r="D7" s="9" t="s">
        <v>14</v>
      </c>
      <c r="E7" s="9"/>
    </row>
    <row r="8">
      <c r="A8" s="7" t="s">
        <v>15</v>
      </c>
      <c r="B8" s="7" t="s">
        <v>16</v>
      </c>
      <c r="C8" s="8">
        <v>180.0</v>
      </c>
      <c r="D8" s="7" t="s">
        <v>17</v>
      </c>
      <c r="E8" s="7"/>
    </row>
    <row r="9">
      <c r="A9" s="9" t="s">
        <v>18</v>
      </c>
      <c r="B9" s="9" t="s">
        <v>19</v>
      </c>
      <c r="C9" s="10">
        <v>26.0</v>
      </c>
      <c r="D9" s="9" t="s">
        <v>17</v>
      </c>
      <c r="E9" s="9"/>
    </row>
    <row r="10">
      <c r="A10" s="7" t="s">
        <v>20</v>
      </c>
      <c r="B10" s="7" t="s">
        <v>21</v>
      </c>
      <c r="C10" s="8">
        <v>156.0</v>
      </c>
      <c r="D10" s="7" t="s">
        <v>17</v>
      </c>
      <c r="E10" s="7"/>
    </row>
    <row r="11">
      <c r="A11" s="6" t="s">
        <v>22</v>
      </c>
      <c r="B11" s="6"/>
      <c r="C11" s="6"/>
      <c r="D11" s="6"/>
      <c r="E11" s="6"/>
    </row>
    <row r="12">
      <c r="A12" s="7" t="s">
        <v>23</v>
      </c>
      <c r="B12" s="7" t="s">
        <v>24</v>
      </c>
      <c r="C12" s="8">
        <v>60.0</v>
      </c>
      <c r="D12" s="7" t="s">
        <v>25</v>
      </c>
      <c r="E12" s="7" t="s">
        <v>26</v>
      </c>
    </row>
    <row r="13">
      <c r="A13" s="9" t="s">
        <v>27</v>
      </c>
      <c r="B13" s="9" t="s">
        <v>28</v>
      </c>
      <c r="C13" s="10">
        <v>53.74</v>
      </c>
      <c r="D13" s="9" t="s">
        <v>25</v>
      </c>
      <c r="E13" s="9" t="s">
        <v>29</v>
      </c>
    </row>
    <row r="14">
      <c r="A14" s="7" t="s">
        <v>30</v>
      </c>
      <c r="B14" s="7" t="s">
        <v>31</v>
      </c>
      <c r="C14" s="8">
        <v>0.08</v>
      </c>
      <c r="D14" s="7" t="s">
        <v>32</v>
      </c>
      <c r="E14" s="7" t="s">
        <v>33</v>
      </c>
    </row>
    <row r="15">
      <c r="A15" s="9" t="s">
        <v>34</v>
      </c>
      <c r="B15" s="9" t="s">
        <v>35</v>
      </c>
      <c r="C15" s="10" t="str">
        <f>B11*(1+B12)</f>
        <v>#VALUE!</v>
      </c>
      <c r="D15" s="9" t="s">
        <v>25</v>
      </c>
      <c r="E15" s="9" t="str">
        <f>53.74×1.08</f>
        <v>#ERROR!</v>
      </c>
    </row>
    <row r="16">
      <c r="A16" s="7" t="s">
        <v>36</v>
      </c>
      <c r="B16" s="7" t="s">
        <v>37</v>
      </c>
      <c r="C16" s="8" t="str">
        <f>B13/B9</f>
        <v>#VALUE!</v>
      </c>
      <c r="D16" s="7" t="s">
        <v>32</v>
      </c>
      <c r="E16" s="7"/>
    </row>
    <row r="17">
      <c r="A17" s="9" t="s">
        <v>38</v>
      </c>
      <c r="B17" s="9" t="s">
        <v>39</v>
      </c>
      <c r="C17" s="10">
        <v>9457.0</v>
      </c>
      <c r="D17" s="9" t="s">
        <v>40</v>
      </c>
      <c r="E17" s="9" t="s">
        <v>41</v>
      </c>
    </row>
    <row r="18">
      <c r="A18" s="7" t="s">
        <v>42</v>
      </c>
      <c r="B18" s="7" t="s">
        <v>43</v>
      </c>
      <c r="C18" s="8">
        <v>0.12</v>
      </c>
      <c r="D18" s="7" t="s">
        <v>32</v>
      </c>
      <c r="E18" s="7"/>
    </row>
    <row r="19">
      <c r="A19" s="9" t="s">
        <v>44</v>
      </c>
      <c r="B19" s="9" t="s">
        <v>45</v>
      </c>
      <c r="C19" s="10" t="str">
        <f>B16*(1+B17)</f>
        <v>#VALUE!</v>
      </c>
      <c r="D19" s="9" t="s">
        <v>40</v>
      </c>
      <c r="E19" s="9" t="str">
        <f>9457×1.12</f>
        <v>#ERROR!</v>
      </c>
    </row>
    <row r="20">
      <c r="A20" s="6" t="s">
        <v>46</v>
      </c>
      <c r="B20" s="6"/>
      <c r="C20" s="6"/>
      <c r="D20" s="6"/>
      <c r="E20" s="6"/>
    </row>
    <row r="21" ht="15.75" customHeight="1">
      <c r="A21" s="9" t="s">
        <v>47</v>
      </c>
      <c r="B21" s="9" t="s">
        <v>48</v>
      </c>
      <c r="C21" s="10" t="str">
        <f>T1_PRODUCTOS!W23</f>
        <v/>
      </c>
      <c r="D21" s="9" t="s">
        <v>49</v>
      </c>
      <c r="E21" s="9" t="s">
        <v>50</v>
      </c>
    </row>
    <row r="22" ht="15.75" customHeight="1">
      <c r="A22" s="7" t="s">
        <v>51</v>
      </c>
      <c r="B22" s="7" t="s">
        <v>52</v>
      </c>
      <c r="C22" s="8">
        <v>3500.0</v>
      </c>
      <c r="D22" s="7" t="s">
        <v>49</v>
      </c>
      <c r="E22" s="7" t="s">
        <v>53</v>
      </c>
    </row>
    <row r="23" ht="15.75" customHeight="1">
      <c r="A23" s="9" t="s">
        <v>54</v>
      </c>
      <c r="B23" s="9" t="s">
        <v>55</v>
      </c>
      <c r="C23" s="10">
        <v>0.007</v>
      </c>
      <c r="D23" s="9" t="s">
        <v>32</v>
      </c>
      <c r="E23" s="9" t="s">
        <v>56</v>
      </c>
    </row>
    <row r="24" ht="15.75" customHeight="1">
      <c r="A24" s="7" t="s">
        <v>57</v>
      </c>
      <c r="B24" s="7" t="s">
        <v>58</v>
      </c>
      <c r="C24" s="8" t="str">
        <f>B20*B19</f>
        <v>#VALUE!</v>
      </c>
      <c r="D24" s="7" t="s">
        <v>49</v>
      </c>
      <c r="E24" s="7" t="str">
        <f>FOB×0.70%</f>
        <v>#ERROR!</v>
      </c>
    </row>
    <row r="25" ht="15.75" customHeight="1">
      <c r="A25" s="9" t="s">
        <v>59</v>
      </c>
      <c r="B25" s="9" t="s">
        <v>60</v>
      </c>
      <c r="C25" s="10" t="str">
        <f>B20+B21+B22</f>
        <v>#VALUE!</v>
      </c>
      <c r="D25" s="9" t="s">
        <v>49</v>
      </c>
      <c r="E25" s="9" t="s">
        <v>61</v>
      </c>
    </row>
    <row r="26" ht="15.75" customHeight="1">
      <c r="A26" s="7" t="s">
        <v>62</v>
      </c>
      <c r="B26" s="7" t="s">
        <v>63</v>
      </c>
      <c r="C26" s="8">
        <v>350.0</v>
      </c>
      <c r="D26" s="7" t="s">
        <v>49</v>
      </c>
      <c r="E26" s="7" t="s">
        <v>64</v>
      </c>
    </row>
    <row r="27" ht="15.75" customHeight="1">
      <c r="A27" s="9" t="s">
        <v>65</v>
      </c>
      <c r="B27" s="9" t="s">
        <v>66</v>
      </c>
      <c r="C27" s="10">
        <v>1200.0</v>
      </c>
      <c r="D27" s="9" t="s">
        <v>49</v>
      </c>
      <c r="E27" s="9" t="s">
        <v>67</v>
      </c>
    </row>
    <row r="28" ht="15.75" customHeight="1">
      <c r="A28" s="7" t="s">
        <v>68</v>
      </c>
      <c r="B28" s="7" t="s">
        <v>69</v>
      </c>
      <c r="C28" s="8">
        <v>0.008</v>
      </c>
      <c r="D28" s="7" t="s">
        <v>32</v>
      </c>
      <c r="E28" s="7" t="s">
        <v>70</v>
      </c>
    </row>
    <row r="29" ht="15.75" customHeight="1">
      <c r="A29" s="9" t="s">
        <v>71</v>
      </c>
      <c r="B29" s="9" t="s">
        <v>72</v>
      </c>
      <c r="C29" s="10" t="str">
        <f>MAX(B23*B26,300)</f>
        <v>#VALUE!</v>
      </c>
      <c r="D29" s="9" t="s">
        <v>49</v>
      </c>
      <c r="E29" s="9" t="s">
        <v>73</v>
      </c>
    </row>
    <row r="30" ht="15.75" customHeight="1">
      <c r="A30" s="7" t="s">
        <v>74</v>
      </c>
      <c r="B30" s="7" t="s">
        <v>75</v>
      </c>
      <c r="C30" s="8">
        <v>2200.0</v>
      </c>
      <c r="D30" s="7" t="s">
        <v>49</v>
      </c>
      <c r="E30" s="7" t="s">
        <v>67</v>
      </c>
    </row>
    <row r="31" ht="15.75" customHeight="1">
      <c r="A31" s="9" t="s">
        <v>76</v>
      </c>
      <c r="B31" s="9" t="s">
        <v>77</v>
      </c>
      <c r="C31" s="10">
        <v>0.01</v>
      </c>
      <c r="D31" s="9" t="s">
        <v>32</v>
      </c>
      <c r="E31" s="9" t="s">
        <v>78</v>
      </c>
    </row>
    <row r="32" ht="15.75" customHeight="1">
      <c r="A32" s="7" t="s">
        <v>79</v>
      </c>
      <c r="B32" s="7" t="s">
        <v>80</v>
      </c>
      <c r="C32" s="8" t="str">
        <f>B20*B30</f>
        <v>#VALUE!</v>
      </c>
      <c r="D32" s="7" t="s">
        <v>49</v>
      </c>
      <c r="E32" s="7"/>
    </row>
    <row r="33" ht="15.75" customHeight="1">
      <c r="A33" s="9" t="s">
        <v>81</v>
      </c>
      <c r="B33" s="9" t="s">
        <v>82</v>
      </c>
      <c r="C33" s="10">
        <v>0.1</v>
      </c>
      <c r="D33" s="9" t="s">
        <v>32</v>
      </c>
      <c r="E33" s="9" t="s">
        <v>83</v>
      </c>
    </row>
    <row r="34" ht="15.75" customHeight="1">
      <c r="A34" s="7" t="s">
        <v>84</v>
      </c>
      <c r="B34" s="7" t="s">
        <v>85</v>
      </c>
      <c r="C34" s="8" t="str">
        <f>B23*B32</f>
        <v>#VALUE!</v>
      </c>
      <c r="D34" s="7" t="s">
        <v>49</v>
      </c>
      <c r="E34" s="7"/>
    </row>
    <row r="35" ht="15.75" customHeight="1">
      <c r="A35" s="9" t="s">
        <v>86</v>
      </c>
      <c r="B35" s="9" t="s">
        <v>87</v>
      </c>
      <c r="C35" s="10" t="str">
        <f>B23+B33</f>
        <v>#VALUE!</v>
      </c>
      <c r="D35" s="9" t="s">
        <v>49</v>
      </c>
      <c r="E35" s="9" t="s">
        <v>88</v>
      </c>
    </row>
    <row r="36" ht="15.75" customHeight="1">
      <c r="A36" s="7" t="s">
        <v>89</v>
      </c>
      <c r="B36" s="7" t="s">
        <v>90</v>
      </c>
      <c r="C36" s="8">
        <v>0.1494</v>
      </c>
      <c r="D36" s="7" t="s">
        <v>32</v>
      </c>
      <c r="E36" s="7" t="s">
        <v>91</v>
      </c>
    </row>
    <row r="37" ht="15.75" customHeight="1">
      <c r="A37" s="9" t="s">
        <v>92</v>
      </c>
      <c r="B37" s="9" t="s">
        <v>93</v>
      </c>
      <c r="C37" s="10" t="str">
        <f>B35*B34</f>
        <v>#VALUE!</v>
      </c>
      <c r="D37" s="9" t="s">
        <v>49</v>
      </c>
      <c r="E37" s="9"/>
    </row>
    <row r="38" ht="15.75" customHeight="1">
      <c r="A38" s="7" t="s">
        <v>94</v>
      </c>
      <c r="B38" s="7" t="s">
        <v>95</v>
      </c>
      <c r="C38" s="8" t="str">
        <f>B33+B36</f>
        <v>#VALUE!</v>
      </c>
      <c r="D38" s="7" t="s">
        <v>49</v>
      </c>
      <c r="E38" s="7" t="s">
        <v>96</v>
      </c>
    </row>
    <row r="39" ht="15.75" customHeight="1">
      <c r="A39" s="9" t="s">
        <v>97</v>
      </c>
      <c r="B39" s="9" t="s">
        <v>98</v>
      </c>
      <c r="C39" s="10" t="str">
        <f>B20+B21+B22+B24+B25+B27+B28+B31+B37</f>
        <v>#VALUE!</v>
      </c>
      <c r="D39" s="9" t="s">
        <v>49</v>
      </c>
      <c r="E39" s="9"/>
    </row>
    <row r="40" ht="15.75" customHeight="1">
      <c r="A40" s="7" t="s">
        <v>99</v>
      </c>
      <c r="B40" s="7" t="s">
        <v>100</v>
      </c>
      <c r="C40" s="8" t="str">
        <f>B38*B4</f>
        <v>#VALUE!</v>
      </c>
      <c r="D40" s="7" t="s">
        <v>101</v>
      </c>
      <c r="E40" s="7"/>
    </row>
    <row r="41" ht="15.75" customHeight="1">
      <c r="A41" s="9" t="s">
        <v>102</v>
      </c>
      <c r="B41" s="9" t="s">
        <v>103</v>
      </c>
      <c r="C41" s="10" t="str">
        <f>B38/B20</f>
        <v>#VALUE!</v>
      </c>
      <c r="D41" s="9" t="s">
        <v>104</v>
      </c>
      <c r="E41" s="9" t="s">
        <v>105</v>
      </c>
    </row>
    <row r="42" ht="15.75" customHeight="1">
      <c r="A42" s="6" t="s">
        <v>106</v>
      </c>
      <c r="B42" s="6"/>
      <c r="C42" s="6"/>
      <c r="D42" s="6"/>
      <c r="E42" s="6"/>
    </row>
    <row r="43" ht="15.75" customHeight="1">
      <c r="A43" s="9" t="s">
        <v>107</v>
      </c>
      <c r="B43" s="9" t="s">
        <v>108</v>
      </c>
      <c r="C43" s="10">
        <v>85.0</v>
      </c>
      <c r="D43" s="9" t="s">
        <v>101</v>
      </c>
      <c r="E43" s="9" t="s">
        <v>109</v>
      </c>
    </row>
    <row r="44" ht="15.75" customHeight="1">
      <c r="A44" s="7" t="s">
        <v>110</v>
      </c>
      <c r="B44" s="7" t="s">
        <v>111</v>
      </c>
      <c r="C44" s="8">
        <v>0.24</v>
      </c>
      <c r="D44" s="7" t="s">
        <v>32</v>
      </c>
      <c r="E44" s="7" t="s">
        <v>112</v>
      </c>
    </row>
    <row r="45" ht="15.75" customHeight="1">
      <c r="A45" s="9" t="s">
        <v>113</v>
      </c>
      <c r="B45" s="9" t="s">
        <v>114</v>
      </c>
      <c r="C45" s="10" t="str">
        <f>B43/12</f>
        <v>#VALUE!</v>
      </c>
      <c r="D45" s="9" t="s">
        <v>32</v>
      </c>
      <c r="E45" s="9"/>
    </row>
    <row r="46" ht="15.75" customHeight="1">
      <c r="A46" s="7" t="s">
        <v>115</v>
      </c>
      <c r="B46" s="7" t="s">
        <v>116</v>
      </c>
      <c r="C46" s="8">
        <v>45.0</v>
      </c>
      <c r="D46" s="7" t="s">
        <v>17</v>
      </c>
      <c r="E46" s="7"/>
    </row>
    <row r="47" ht="15.75" customHeight="1">
      <c r="A47" s="9" t="s">
        <v>117</v>
      </c>
      <c r="B47" s="9" t="s">
        <v>118</v>
      </c>
      <c r="C47" s="10">
        <v>7.0</v>
      </c>
      <c r="D47" s="9" t="s">
        <v>119</v>
      </c>
      <c r="E47" s="9" t="s">
        <v>120</v>
      </c>
    </row>
    <row r="48" ht="15.75" customHeight="1">
      <c r="A48" s="7" t="s">
        <v>121</v>
      </c>
      <c r="B48" s="7" t="s">
        <v>122</v>
      </c>
      <c r="C48" s="8">
        <v>1.65</v>
      </c>
      <c r="D48" s="7"/>
      <c r="E48" s="7" t="s">
        <v>123</v>
      </c>
    </row>
    <row r="49" ht="15.75" customHeight="1">
      <c r="A49" s="9" t="s">
        <v>124</v>
      </c>
      <c r="B49" s="9" t="s">
        <v>125</v>
      </c>
      <c r="C49" s="10">
        <v>1.28</v>
      </c>
      <c r="D49" s="9"/>
      <c r="E49" s="9" t="s">
        <v>126</v>
      </c>
    </row>
    <row r="50" ht="15.75" customHeight="1">
      <c r="A50" s="7" t="s">
        <v>127</v>
      </c>
      <c r="B50" s="7" t="s">
        <v>128</v>
      </c>
      <c r="C50" s="8">
        <v>1.04</v>
      </c>
      <c r="D50" s="7"/>
      <c r="E50" s="7" t="s">
        <v>129</v>
      </c>
    </row>
    <row r="51" ht="15.75" customHeight="1">
      <c r="A51" s="9" t="s">
        <v>130</v>
      </c>
      <c r="B51" s="9" t="s">
        <v>131</v>
      </c>
      <c r="C51" s="10">
        <v>0.2</v>
      </c>
      <c r="D51" s="9" t="s">
        <v>32</v>
      </c>
      <c r="E51" s="9" t="s">
        <v>132</v>
      </c>
    </row>
    <row r="52" ht="15.75" customHeight="1">
      <c r="A52" s="7" t="s">
        <v>133</v>
      </c>
      <c r="B52" s="7" t="s">
        <v>134</v>
      </c>
      <c r="C52" s="8">
        <v>0.15</v>
      </c>
      <c r="D52" s="7" t="s">
        <v>32</v>
      </c>
      <c r="E52" s="7"/>
    </row>
    <row r="53" ht="15.75" customHeight="1">
      <c r="A53" s="9" t="s">
        <v>135</v>
      </c>
      <c r="B53" s="9" t="s">
        <v>136</v>
      </c>
      <c r="C53" s="10">
        <v>0.1</v>
      </c>
      <c r="D53" s="9" t="s">
        <v>32</v>
      </c>
      <c r="E53" s="9"/>
    </row>
    <row r="54" ht="15.75" customHeight="1">
      <c r="A54" s="6" t="s">
        <v>137</v>
      </c>
      <c r="B54" s="6"/>
      <c r="C54" s="6"/>
      <c r="D54" s="6"/>
      <c r="E54" s="6"/>
    </row>
    <row r="55" ht="15.75" customHeight="1">
      <c r="A55" s="9" t="s">
        <v>138</v>
      </c>
      <c r="B55" s="9" t="s">
        <v>139</v>
      </c>
      <c r="C55" s="10">
        <v>250.0</v>
      </c>
      <c r="D55" s="9" t="s">
        <v>101</v>
      </c>
      <c r="E55" s="9" t="s">
        <v>140</v>
      </c>
    </row>
    <row r="56" ht="15.75" customHeight="1">
      <c r="A56" s="7" t="s">
        <v>141</v>
      </c>
      <c r="B56" s="7" t="s">
        <v>142</v>
      </c>
      <c r="C56" s="8">
        <v>1900.0</v>
      </c>
      <c r="D56" s="7" t="s">
        <v>101</v>
      </c>
      <c r="E56" s="7" t="s">
        <v>143</v>
      </c>
    </row>
    <row r="57" ht="15.75" customHeight="1">
      <c r="A57" s="9" t="s">
        <v>144</v>
      </c>
      <c r="B57" s="9" t="s">
        <v>145</v>
      </c>
      <c r="C57" s="10">
        <v>2400.0</v>
      </c>
      <c r="D57" s="9" t="s">
        <v>101</v>
      </c>
      <c r="E57" s="9" t="s">
        <v>143</v>
      </c>
    </row>
    <row r="58" ht="15.75" customHeight="1">
      <c r="A58" s="7" t="s">
        <v>146</v>
      </c>
      <c r="B58" s="7" t="s">
        <v>147</v>
      </c>
      <c r="C58" s="8">
        <v>26.0</v>
      </c>
      <c r="D58" s="7" t="s">
        <v>148</v>
      </c>
      <c r="E58" s="7"/>
    </row>
    <row r="59" ht="15.75" customHeight="1">
      <c r="A59" s="9" t="s">
        <v>149</v>
      </c>
      <c r="B59" s="9" t="s">
        <v>150</v>
      </c>
      <c r="C59" s="10">
        <v>12.0</v>
      </c>
      <c r="D59" s="9" t="s">
        <v>148</v>
      </c>
      <c r="E59" s="9"/>
    </row>
    <row r="60" ht="15.75" customHeight="1">
      <c r="A60" s="7" t="s">
        <v>151</v>
      </c>
      <c r="B60" s="7" t="s">
        <v>152</v>
      </c>
      <c r="C60" s="8">
        <v>12.0</v>
      </c>
      <c r="D60" s="7" t="s">
        <v>148</v>
      </c>
      <c r="E60" s="7"/>
    </row>
    <row r="61" ht="15.75" customHeight="1">
      <c r="A61" s="9" t="s">
        <v>153</v>
      </c>
      <c r="B61" s="9" t="s">
        <v>154</v>
      </c>
      <c r="C61" s="10">
        <v>0.2</v>
      </c>
      <c r="D61" s="9" t="s">
        <v>155</v>
      </c>
      <c r="E61" s="9"/>
    </row>
    <row r="62" ht="15.75" customHeight="1">
      <c r="A62" s="6" t="s">
        <v>156</v>
      </c>
      <c r="B62" s="6"/>
      <c r="C62" s="6"/>
      <c r="D62" s="6"/>
      <c r="E62" s="6"/>
    </row>
    <row r="63" ht="15.75" customHeight="1">
      <c r="A63" s="9" t="s">
        <v>157</v>
      </c>
      <c r="B63" s="9" t="s">
        <v>158</v>
      </c>
      <c r="C63" s="10">
        <v>200.0</v>
      </c>
      <c r="D63" s="9" t="s">
        <v>159</v>
      </c>
      <c r="E63" s="9" t="s">
        <v>160</v>
      </c>
    </row>
    <row r="64" ht="15.75" customHeight="1">
      <c r="A64" s="7" t="s">
        <v>161</v>
      </c>
      <c r="B64" s="7" t="s">
        <v>162</v>
      </c>
      <c r="C64" s="8">
        <v>5.0</v>
      </c>
      <c r="D64" s="7" t="s">
        <v>101</v>
      </c>
      <c r="E64" s="7" t="s">
        <v>163</v>
      </c>
    </row>
    <row r="65" ht="15.75" customHeight="1">
      <c r="A65" s="9" t="s">
        <v>164</v>
      </c>
      <c r="B65" s="9" t="s">
        <v>165</v>
      </c>
      <c r="C65" s="10">
        <v>0.04</v>
      </c>
      <c r="D65" s="9" t="s">
        <v>32</v>
      </c>
      <c r="E65" s="9" t="s">
        <v>166</v>
      </c>
    </row>
    <row r="66" ht="15.75" customHeight="1">
      <c r="A66" s="7" t="s">
        <v>167</v>
      </c>
      <c r="B66" s="7" t="s">
        <v>168</v>
      </c>
      <c r="C66" s="8">
        <v>0.9</v>
      </c>
      <c r="D66" s="7" t="s">
        <v>32</v>
      </c>
      <c r="E66" s="7" t="s">
        <v>169</v>
      </c>
    </row>
    <row r="67" ht="15.75" customHeight="1">
      <c r="A67" s="6" t="s">
        <v>170</v>
      </c>
      <c r="B67" s="6"/>
      <c r="C67" s="6"/>
      <c r="D67" s="6"/>
      <c r="E67" s="6"/>
    </row>
    <row r="68" ht="15.75" customHeight="1">
      <c r="A68" s="7" t="s">
        <v>171</v>
      </c>
      <c r="B68" s="7" t="s">
        <v>172</v>
      </c>
      <c r="C68" s="8">
        <v>180.0</v>
      </c>
      <c r="D68" s="7" t="s">
        <v>173</v>
      </c>
      <c r="E68" s="7"/>
    </row>
    <row r="69" ht="15.75" customHeight="1">
      <c r="A69" s="9" t="s">
        <v>174</v>
      </c>
      <c r="B69" s="9" t="s">
        <v>175</v>
      </c>
      <c r="C69" s="10">
        <v>6300.0</v>
      </c>
      <c r="D69" s="9" t="s">
        <v>101</v>
      </c>
      <c r="E69" s="9" t="str">
        <f>180×35</f>
        <v>#ERROR!</v>
      </c>
    </row>
    <row r="70" ht="15.75" customHeight="1">
      <c r="A70" s="7" t="s">
        <v>176</v>
      </c>
      <c r="B70" s="7" t="s">
        <v>177</v>
      </c>
      <c r="C70" s="8" t="str">
        <f>B67*B6</f>
        <v>#VALUE!</v>
      </c>
      <c r="D70" s="7" t="s">
        <v>101</v>
      </c>
      <c r="E70" s="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4.0"/>
    <col customWidth="1" min="3" max="3" width="14.0"/>
    <col customWidth="1" min="4" max="4" width="10.0"/>
    <col customWidth="1" min="5" max="7" width="9.0"/>
    <col customWidth="1" min="8" max="9" width="10.0"/>
    <col customWidth="1" min="10" max="10" width="12.0"/>
    <col customWidth="1" min="11" max="11" width="13.0"/>
    <col customWidth="1" min="12" max="12" width="12.0"/>
    <col customWidth="1" min="13" max="26" width="8.71"/>
  </cols>
  <sheetData>
    <row r="1" ht="30.0" customHeight="1">
      <c r="A1" s="1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9.75" customHeight="1">
      <c r="A2" s="12" t="s">
        <v>179</v>
      </c>
      <c r="B2" s="12" t="s">
        <v>180</v>
      </c>
      <c r="C2" s="12" t="s">
        <v>181</v>
      </c>
      <c r="D2" s="12" t="s">
        <v>182</v>
      </c>
      <c r="E2" s="12" t="s">
        <v>183</v>
      </c>
      <c r="F2" s="12" t="s">
        <v>184</v>
      </c>
      <c r="G2" s="12" t="s">
        <v>185</v>
      </c>
      <c r="H2" s="12" t="s">
        <v>186</v>
      </c>
      <c r="I2" s="12" t="s">
        <v>187</v>
      </c>
      <c r="J2" s="12" t="s">
        <v>188</v>
      </c>
      <c r="K2" s="12" t="s">
        <v>189</v>
      </c>
      <c r="L2" s="12" t="s">
        <v>190</v>
      </c>
    </row>
    <row r="3">
      <c r="A3" s="13" t="s">
        <v>191</v>
      </c>
      <c r="B3" s="13" t="s">
        <v>192</v>
      </c>
      <c r="C3" s="13" t="s">
        <v>193</v>
      </c>
      <c r="D3" s="14">
        <v>800.0</v>
      </c>
      <c r="E3" s="15">
        <v>0.9</v>
      </c>
      <c r="F3" s="15">
        <v>0.012</v>
      </c>
      <c r="G3" s="15">
        <v>18.0</v>
      </c>
      <c r="H3" s="16">
        <f t="shared" ref="H3:H22" si="1">D3*F3</f>
        <v>9.6</v>
      </c>
      <c r="I3" s="15">
        <f t="shared" ref="I3:I22" si="2">D3*E3</f>
        <v>720</v>
      </c>
      <c r="J3" s="15">
        <f t="shared" ref="J3:J22" si="3">D3*G3</f>
        <v>14400</v>
      </c>
      <c r="K3" s="17" t="str">
        <f>G3*SUPUESTOS!$B$40*SUPUESTOS!$B$4</f>
        <v>#VALUE!</v>
      </c>
      <c r="L3" s="18" t="str">
        <f t="shared" ref="L3:L4" si="4">K3/(1-0.45)</f>
        <v>#VALUE!</v>
      </c>
    </row>
    <row r="4">
      <c r="A4" s="19" t="s">
        <v>194</v>
      </c>
      <c r="B4" s="19" t="s">
        <v>195</v>
      </c>
      <c r="C4" s="19" t="s">
        <v>193</v>
      </c>
      <c r="D4" s="20">
        <v>500.0</v>
      </c>
      <c r="E4" s="21">
        <v>1.0</v>
      </c>
      <c r="F4" s="21">
        <v>0.013</v>
      </c>
      <c r="G4" s="21">
        <v>20.0</v>
      </c>
      <c r="H4" s="22">
        <f t="shared" si="1"/>
        <v>6.5</v>
      </c>
      <c r="I4" s="21">
        <f t="shared" si="2"/>
        <v>500</v>
      </c>
      <c r="J4" s="21">
        <f t="shared" si="3"/>
        <v>10000</v>
      </c>
      <c r="K4" s="23" t="str">
        <f>G4*SUPUESTOS!$B$40*SUPUESTOS!$B$4</f>
        <v>#VALUE!</v>
      </c>
      <c r="L4" s="24" t="str">
        <f t="shared" si="4"/>
        <v>#VALUE!</v>
      </c>
    </row>
    <row r="5">
      <c r="A5" s="13" t="s">
        <v>196</v>
      </c>
      <c r="B5" s="13" t="s">
        <v>197</v>
      </c>
      <c r="C5" s="13" t="s">
        <v>198</v>
      </c>
      <c r="D5" s="14">
        <v>1000.0</v>
      </c>
      <c r="E5" s="15">
        <v>0.45</v>
      </c>
      <c r="F5" s="15">
        <v>0.003</v>
      </c>
      <c r="G5" s="15">
        <v>4.5</v>
      </c>
      <c r="H5" s="16">
        <f t="shared" si="1"/>
        <v>3</v>
      </c>
      <c r="I5" s="15">
        <f t="shared" si="2"/>
        <v>450</v>
      </c>
      <c r="J5" s="15">
        <f t="shared" si="3"/>
        <v>4500</v>
      </c>
      <c r="K5" s="17" t="str">
        <f>G5*SUPUESTOS!$B$40*SUPUESTOS!$B$4</f>
        <v>#VALUE!</v>
      </c>
      <c r="L5" s="18" t="str">
        <f t="shared" ref="L5:L7" si="5">K5/(1-0.35)</f>
        <v>#VALUE!</v>
      </c>
    </row>
    <row r="6">
      <c r="A6" s="19" t="s">
        <v>199</v>
      </c>
      <c r="B6" s="19" t="s">
        <v>200</v>
      </c>
      <c r="C6" s="19" t="s">
        <v>198</v>
      </c>
      <c r="D6" s="20">
        <v>700.0</v>
      </c>
      <c r="E6" s="21">
        <v>0.43</v>
      </c>
      <c r="F6" s="21">
        <v>0.0028</v>
      </c>
      <c r="G6" s="21">
        <v>4.2</v>
      </c>
      <c r="H6" s="22">
        <f t="shared" si="1"/>
        <v>1.96</v>
      </c>
      <c r="I6" s="21">
        <f t="shared" si="2"/>
        <v>301</v>
      </c>
      <c r="J6" s="21">
        <f t="shared" si="3"/>
        <v>2940</v>
      </c>
      <c r="K6" s="23" t="str">
        <f>G6*SUPUESTOS!$B$40*SUPUESTOS!$B$4</f>
        <v>#VALUE!</v>
      </c>
      <c r="L6" s="24" t="str">
        <f t="shared" si="5"/>
        <v>#VALUE!</v>
      </c>
    </row>
    <row r="7">
      <c r="A7" s="13" t="s">
        <v>201</v>
      </c>
      <c r="B7" s="13" t="s">
        <v>202</v>
      </c>
      <c r="C7" s="13" t="s">
        <v>198</v>
      </c>
      <c r="D7" s="14">
        <v>600.0</v>
      </c>
      <c r="E7" s="15">
        <v>0.6</v>
      </c>
      <c r="F7" s="15">
        <v>0.004</v>
      </c>
      <c r="G7" s="15">
        <v>5.2</v>
      </c>
      <c r="H7" s="16">
        <f t="shared" si="1"/>
        <v>2.4</v>
      </c>
      <c r="I7" s="15">
        <f t="shared" si="2"/>
        <v>360</v>
      </c>
      <c r="J7" s="15">
        <f t="shared" si="3"/>
        <v>3120</v>
      </c>
      <c r="K7" s="17" t="str">
        <f>G7*SUPUESTOS!$B$40*SUPUESTOS!$B$4</f>
        <v>#VALUE!</v>
      </c>
      <c r="L7" s="18" t="str">
        <f t="shared" si="5"/>
        <v>#VALUE!</v>
      </c>
    </row>
    <row r="8">
      <c r="A8" s="19" t="s">
        <v>203</v>
      </c>
      <c r="B8" s="19" t="s">
        <v>204</v>
      </c>
      <c r="C8" s="19" t="s">
        <v>205</v>
      </c>
      <c r="D8" s="20">
        <v>800.0</v>
      </c>
      <c r="E8" s="21">
        <v>0.9</v>
      </c>
      <c r="F8" s="21">
        <v>0.011</v>
      </c>
      <c r="G8" s="21">
        <v>5.8</v>
      </c>
      <c r="H8" s="22">
        <f t="shared" si="1"/>
        <v>8.8</v>
      </c>
      <c r="I8" s="21">
        <f t="shared" si="2"/>
        <v>720</v>
      </c>
      <c r="J8" s="21">
        <f t="shared" si="3"/>
        <v>4640</v>
      </c>
      <c r="K8" s="23" t="str">
        <f>G8*SUPUESTOS!$B$40*SUPUESTOS!$B$4</f>
        <v>#VALUE!</v>
      </c>
      <c r="L8" s="24" t="str">
        <f t="shared" ref="L8:L12" si="6">K8/(1-0.4)</f>
        <v>#VALUE!</v>
      </c>
    </row>
    <row r="9">
      <c r="A9" s="13" t="s">
        <v>206</v>
      </c>
      <c r="B9" s="13" t="s">
        <v>207</v>
      </c>
      <c r="C9" s="13" t="s">
        <v>205</v>
      </c>
      <c r="D9" s="14">
        <v>1200.0</v>
      </c>
      <c r="E9" s="15">
        <v>0.2</v>
      </c>
      <c r="F9" s="15">
        <v>0.0012</v>
      </c>
      <c r="G9" s="15">
        <v>1.8</v>
      </c>
      <c r="H9" s="16">
        <f t="shared" si="1"/>
        <v>1.44</v>
      </c>
      <c r="I9" s="15">
        <f t="shared" si="2"/>
        <v>240</v>
      </c>
      <c r="J9" s="15">
        <f t="shared" si="3"/>
        <v>2160</v>
      </c>
      <c r="K9" s="17" t="str">
        <f>G9*SUPUESTOS!$B$40*SUPUESTOS!$B$4</f>
        <v>#VALUE!</v>
      </c>
      <c r="L9" s="18" t="str">
        <f t="shared" si="6"/>
        <v>#VALUE!</v>
      </c>
    </row>
    <row r="10">
      <c r="A10" s="19" t="s">
        <v>208</v>
      </c>
      <c r="B10" s="19" t="s">
        <v>209</v>
      </c>
      <c r="C10" s="19" t="s">
        <v>205</v>
      </c>
      <c r="D10" s="20">
        <v>1000.0</v>
      </c>
      <c r="E10" s="21">
        <v>0.15</v>
      </c>
      <c r="F10" s="21">
        <v>8.0E-4</v>
      </c>
      <c r="G10" s="21">
        <v>1.2</v>
      </c>
      <c r="H10" s="22">
        <f t="shared" si="1"/>
        <v>0.8</v>
      </c>
      <c r="I10" s="21">
        <f t="shared" si="2"/>
        <v>150</v>
      </c>
      <c r="J10" s="21">
        <f t="shared" si="3"/>
        <v>1200</v>
      </c>
      <c r="K10" s="23" t="str">
        <f>G10*SUPUESTOS!$B$40*SUPUESTOS!$B$4</f>
        <v>#VALUE!</v>
      </c>
      <c r="L10" s="24" t="str">
        <f t="shared" si="6"/>
        <v>#VALUE!</v>
      </c>
    </row>
    <row r="11">
      <c r="A11" s="13" t="s">
        <v>210</v>
      </c>
      <c r="B11" s="13" t="s">
        <v>211</v>
      </c>
      <c r="C11" s="13" t="s">
        <v>205</v>
      </c>
      <c r="D11" s="14">
        <v>400.0</v>
      </c>
      <c r="E11" s="15">
        <v>4.3</v>
      </c>
      <c r="F11" s="15">
        <v>0.004</v>
      </c>
      <c r="G11" s="15">
        <v>4.8</v>
      </c>
      <c r="H11" s="16">
        <f t="shared" si="1"/>
        <v>1.6</v>
      </c>
      <c r="I11" s="15">
        <f t="shared" si="2"/>
        <v>1720</v>
      </c>
      <c r="J11" s="15">
        <f t="shared" si="3"/>
        <v>1920</v>
      </c>
      <c r="K11" s="17" t="str">
        <f>G11*SUPUESTOS!$B$40*SUPUESTOS!$B$4</f>
        <v>#VALUE!</v>
      </c>
      <c r="L11" s="18" t="str">
        <f t="shared" si="6"/>
        <v>#VALUE!</v>
      </c>
    </row>
    <row r="12">
      <c r="A12" s="19" t="s">
        <v>212</v>
      </c>
      <c r="B12" s="19" t="s">
        <v>213</v>
      </c>
      <c r="C12" s="19" t="s">
        <v>205</v>
      </c>
      <c r="D12" s="20">
        <v>250.0</v>
      </c>
      <c r="E12" s="21">
        <v>10.4</v>
      </c>
      <c r="F12" s="21">
        <v>0.006</v>
      </c>
      <c r="G12" s="21">
        <v>10.5</v>
      </c>
      <c r="H12" s="22">
        <f t="shared" si="1"/>
        <v>1.5</v>
      </c>
      <c r="I12" s="21">
        <f t="shared" si="2"/>
        <v>2600</v>
      </c>
      <c r="J12" s="21">
        <f t="shared" si="3"/>
        <v>2625</v>
      </c>
      <c r="K12" s="23" t="str">
        <f>G12*SUPUESTOS!$B$40*SUPUESTOS!$B$4</f>
        <v>#VALUE!</v>
      </c>
      <c r="L12" s="24" t="str">
        <f t="shared" si="6"/>
        <v>#VALUE!</v>
      </c>
    </row>
    <row r="13">
      <c r="A13" s="13" t="s">
        <v>214</v>
      </c>
      <c r="B13" s="13" t="s">
        <v>215</v>
      </c>
      <c r="C13" s="13" t="s">
        <v>216</v>
      </c>
      <c r="D13" s="14">
        <v>900.0</v>
      </c>
      <c r="E13" s="15">
        <v>0.2</v>
      </c>
      <c r="F13" s="15">
        <v>0.001</v>
      </c>
      <c r="G13" s="15">
        <v>2.2</v>
      </c>
      <c r="H13" s="16">
        <f t="shared" si="1"/>
        <v>0.9</v>
      </c>
      <c r="I13" s="15">
        <f t="shared" si="2"/>
        <v>180</v>
      </c>
      <c r="J13" s="15">
        <f t="shared" si="3"/>
        <v>1980</v>
      </c>
      <c r="K13" s="17" t="str">
        <f>G13*SUPUESTOS!$B$40*SUPUESTOS!$B$4</f>
        <v>#VALUE!</v>
      </c>
      <c r="L13" s="18" t="str">
        <f t="shared" ref="L13:L15" si="7">K13/(1-0.45)</f>
        <v>#VALUE!</v>
      </c>
    </row>
    <row r="14">
      <c r="A14" s="19" t="s">
        <v>217</v>
      </c>
      <c r="B14" s="19" t="s">
        <v>218</v>
      </c>
      <c r="C14" s="19" t="s">
        <v>216</v>
      </c>
      <c r="D14" s="20">
        <v>500.0</v>
      </c>
      <c r="E14" s="21">
        <v>0.65</v>
      </c>
      <c r="F14" s="21">
        <v>0.01</v>
      </c>
      <c r="G14" s="21">
        <v>6.5</v>
      </c>
      <c r="H14" s="22">
        <f t="shared" si="1"/>
        <v>5</v>
      </c>
      <c r="I14" s="21">
        <f t="shared" si="2"/>
        <v>325</v>
      </c>
      <c r="J14" s="21">
        <f t="shared" si="3"/>
        <v>3250</v>
      </c>
      <c r="K14" s="23" t="str">
        <f>G14*SUPUESTOS!$B$40*SUPUESTOS!$B$4</f>
        <v>#VALUE!</v>
      </c>
      <c r="L14" s="24" t="str">
        <f t="shared" si="7"/>
        <v>#VALUE!</v>
      </c>
    </row>
    <row r="15">
      <c r="A15" s="13" t="s">
        <v>219</v>
      </c>
      <c r="B15" s="13" t="s">
        <v>220</v>
      </c>
      <c r="C15" s="13" t="s">
        <v>216</v>
      </c>
      <c r="D15" s="14">
        <v>1000.0</v>
      </c>
      <c r="E15" s="15">
        <v>0.15</v>
      </c>
      <c r="F15" s="15">
        <v>0.002</v>
      </c>
      <c r="G15" s="15">
        <v>1.6</v>
      </c>
      <c r="H15" s="16">
        <f t="shared" si="1"/>
        <v>2</v>
      </c>
      <c r="I15" s="15">
        <f t="shared" si="2"/>
        <v>150</v>
      </c>
      <c r="J15" s="15">
        <f t="shared" si="3"/>
        <v>1600</v>
      </c>
      <c r="K15" s="17" t="str">
        <f>G15*SUPUESTOS!$B$40*SUPUESTOS!$B$4</f>
        <v>#VALUE!</v>
      </c>
      <c r="L15" s="18" t="str">
        <f t="shared" si="7"/>
        <v>#VALUE!</v>
      </c>
    </row>
    <row r="16">
      <c r="A16" s="19" t="s">
        <v>221</v>
      </c>
      <c r="B16" s="19" t="s">
        <v>222</v>
      </c>
      <c r="C16" s="19" t="s">
        <v>223</v>
      </c>
      <c r="D16" s="20">
        <v>1000.0</v>
      </c>
      <c r="E16" s="21">
        <v>0.18</v>
      </c>
      <c r="F16" s="21">
        <v>0.0015</v>
      </c>
      <c r="G16" s="21">
        <v>3.8</v>
      </c>
      <c r="H16" s="22">
        <f t="shared" si="1"/>
        <v>1.5</v>
      </c>
      <c r="I16" s="21">
        <f t="shared" si="2"/>
        <v>180</v>
      </c>
      <c r="J16" s="21">
        <f t="shared" si="3"/>
        <v>3800</v>
      </c>
      <c r="K16" s="23" t="str">
        <f>G16*SUPUESTOS!$B$40*SUPUESTOS!$B$4</f>
        <v>#VALUE!</v>
      </c>
      <c r="L16" s="24" t="str">
        <f t="shared" ref="L16:L19" si="8">K16/(1-0.5)</f>
        <v>#VALUE!</v>
      </c>
    </row>
    <row r="17">
      <c r="A17" s="13" t="s">
        <v>224</v>
      </c>
      <c r="B17" s="13" t="s">
        <v>225</v>
      </c>
      <c r="C17" s="13" t="s">
        <v>223</v>
      </c>
      <c r="D17" s="14">
        <v>900.0</v>
      </c>
      <c r="E17" s="15">
        <v>0.15</v>
      </c>
      <c r="F17" s="15">
        <v>0.0012</v>
      </c>
      <c r="G17" s="15">
        <v>3.0</v>
      </c>
      <c r="H17" s="16">
        <f t="shared" si="1"/>
        <v>1.08</v>
      </c>
      <c r="I17" s="15">
        <f t="shared" si="2"/>
        <v>135</v>
      </c>
      <c r="J17" s="15">
        <f t="shared" si="3"/>
        <v>2700</v>
      </c>
      <c r="K17" s="17" t="str">
        <f>G17*SUPUESTOS!$B$40*SUPUESTOS!$B$4</f>
        <v>#VALUE!</v>
      </c>
      <c r="L17" s="18" t="str">
        <f t="shared" si="8"/>
        <v>#VALUE!</v>
      </c>
    </row>
    <row r="18">
      <c r="A18" s="19" t="s">
        <v>226</v>
      </c>
      <c r="B18" s="19" t="s">
        <v>227</v>
      </c>
      <c r="C18" s="19" t="s">
        <v>223</v>
      </c>
      <c r="D18" s="20">
        <v>700.0</v>
      </c>
      <c r="E18" s="21">
        <v>0.18</v>
      </c>
      <c r="F18" s="21">
        <v>0.0013</v>
      </c>
      <c r="G18" s="21">
        <v>4.0</v>
      </c>
      <c r="H18" s="22">
        <f t="shared" si="1"/>
        <v>0.91</v>
      </c>
      <c r="I18" s="21">
        <f t="shared" si="2"/>
        <v>126</v>
      </c>
      <c r="J18" s="21">
        <f t="shared" si="3"/>
        <v>2800</v>
      </c>
      <c r="K18" s="23" t="str">
        <f>G18*SUPUESTOS!$B$40*SUPUESTOS!$B$4</f>
        <v>#VALUE!</v>
      </c>
      <c r="L18" s="24" t="str">
        <f t="shared" si="8"/>
        <v>#VALUE!</v>
      </c>
    </row>
    <row r="19">
      <c r="A19" s="13" t="s">
        <v>228</v>
      </c>
      <c r="B19" s="13" t="s">
        <v>229</v>
      </c>
      <c r="C19" s="13" t="s">
        <v>223</v>
      </c>
      <c r="D19" s="14">
        <v>1500.0</v>
      </c>
      <c r="E19" s="15">
        <v>0.08</v>
      </c>
      <c r="F19" s="15">
        <v>5.0E-4</v>
      </c>
      <c r="G19" s="15">
        <v>0.8</v>
      </c>
      <c r="H19" s="16">
        <f t="shared" si="1"/>
        <v>0.75</v>
      </c>
      <c r="I19" s="15">
        <f t="shared" si="2"/>
        <v>120</v>
      </c>
      <c r="J19" s="15">
        <f t="shared" si="3"/>
        <v>1200</v>
      </c>
      <c r="K19" s="17" t="str">
        <f>G19*SUPUESTOS!$B$40*SUPUESTOS!$B$4</f>
        <v>#VALUE!</v>
      </c>
      <c r="L19" s="18" t="str">
        <f t="shared" si="8"/>
        <v>#VALUE!</v>
      </c>
    </row>
    <row r="20">
      <c r="A20" s="19" t="s">
        <v>230</v>
      </c>
      <c r="B20" s="19" t="s">
        <v>231</v>
      </c>
      <c r="C20" s="19" t="s">
        <v>216</v>
      </c>
      <c r="D20" s="20">
        <v>800.0</v>
      </c>
      <c r="E20" s="21">
        <v>0.1</v>
      </c>
      <c r="F20" s="21">
        <v>0.001</v>
      </c>
      <c r="G20" s="21">
        <v>1.4</v>
      </c>
      <c r="H20" s="22">
        <f t="shared" si="1"/>
        <v>0.8</v>
      </c>
      <c r="I20" s="21">
        <f t="shared" si="2"/>
        <v>80</v>
      </c>
      <c r="J20" s="21">
        <f t="shared" si="3"/>
        <v>1120</v>
      </c>
      <c r="K20" s="23" t="str">
        <f>G20*SUPUESTOS!$B$40*SUPUESTOS!$B$4</f>
        <v>#VALUE!</v>
      </c>
      <c r="L20" s="24" t="str">
        <f>K20/(1-0.45)</f>
        <v>#VALUE!</v>
      </c>
    </row>
    <row r="21" ht="15.75" customHeight="1">
      <c r="A21" s="13" t="s">
        <v>232</v>
      </c>
      <c r="B21" s="13" t="s">
        <v>233</v>
      </c>
      <c r="C21" s="13" t="s">
        <v>198</v>
      </c>
      <c r="D21" s="14">
        <v>300.0</v>
      </c>
      <c r="E21" s="15">
        <v>0.75</v>
      </c>
      <c r="F21" s="15">
        <v>0.006</v>
      </c>
      <c r="G21" s="15">
        <v>3.5</v>
      </c>
      <c r="H21" s="16">
        <f t="shared" si="1"/>
        <v>1.8</v>
      </c>
      <c r="I21" s="15">
        <f t="shared" si="2"/>
        <v>225</v>
      </c>
      <c r="J21" s="15">
        <f t="shared" si="3"/>
        <v>1050</v>
      </c>
      <c r="K21" s="17" t="str">
        <f>G21*SUPUESTOS!$B$40*SUPUESTOS!$B$4</f>
        <v>#VALUE!</v>
      </c>
      <c r="L21" s="18" t="str">
        <f t="shared" ref="L21:L22" si="9">K21/(1-0.35)</f>
        <v>#VALUE!</v>
      </c>
    </row>
    <row r="22" ht="15.75" customHeight="1">
      <c r="A22" s="19" t="s">
        <v>234</v>
      </c>
      <c r="B22" s="19" t="s">
        <v>235</v>
      </c>
      <c r="C22" s="19" t="s">
        <v>198</v>
      </c>
      <c r="D22" s="20">
        <v>700.0</v>
      </c>
      <c r="E22" s="21">
        <v>0.25</v>
      </c>
      <c r="F22" s="21">
        <v>0.002</v>
      </c>
      <c r="G22" s="21">
        <v>2.1</v>
      </c>
      <c r="H22" s="22">
        <f t="shared" si="1"/>
        <v>1.4</v>
      </c>
      <c r="I22" s="21">
        <f t="shared" si="2"/>
        <v>175</v>
      </c>
      <c r="J22" s="21">
        <f t="shared" si="3"/>
        <v>1470</v>
      </c>
      <c r="K22" s="23" t="str">
        <f>G22*SUPUESTOS!$B$40*SUPUESTOS!$B$4</f>
        <v>#VALUE!</v>
      </c>
      <c r="L22" s="24" t="str">
        <f t="shared" si="9"/>
        <v>#VALUE!</v>
      </c>
    </row>
    <row r="23" ht="15.75" customHeight="1">
      <c r="A23" s="25" t="s">
        <v>236</v>
      </c>
      <c r="B23" s="26"/>
      <c r="C23" s="26"/>
      <c r="D23" s="27">
        <f>SUM(D3:D22)</f>
        <v>15550</v>
      </c>
      <c r="E23" s="28"/>
      <c r="F23" s="28"/>
      <c r="G23" s="28"/>
      <c r="H23" s="29">
        <f t="shared" ref="H23:J23" si="10">SUM(H3:H22)</f>
        <v>53.74</v>
      </c>
      <c r="I23" s="30">
        <f t="shared" si="10"/>
        <v>9457</v>
      </c>
      <c r="J23" s="30">
        <f t="shared" si="10"/>
        <v>68475</v>
      </c>
      <c r="K23" s="28"/>
      <c r="L23" s="28"/>
    </row>
    <row r="24" ht="15.75" customHeight="1"/>
    <row r="25" ht="15.75" customHeight="1">
      <c r="A25" s="31" t="s">
        <v>237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5:L2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4.0"/>
    <col customWidth="1" min="3" max="3" width="8.0"/>
    <col customWidth="1" min="4" max="4" width="12.0"/>
    <col customWidth="1" min="5" max="5" width="10.0"/>
    <col customWidth="1" min="6" max="6" width="12.0"/>
    <col customWidth="1" min="7" max="8" width="10.0"/>
    <col customWidth="1" min="9" max="9" width="11.0"/>
    <col customWidth="1" min="10" max="13" width="8.0"/>
    <col customWidth="1" min="14" max="15" width="10.0"/>
    <col customWidth="1" min="16" max="26" width="8.71"/>
  </cols>
  <sheetData>
    <row r="1" ht="30.0" customHeight="1">
      <c r="A1" s="11" t="s">
        <v>238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4.5" customHeight="1">
      <c r="A2" s="12" t="s">
        <v>179</v>
      </c>
      <c r="B2" s="12" t="s">
        <v>180</v>
      </c>
      <c r="C2" s="12" t="s">
        <v>236</v>
      </c>
      <c r="D2" s="12" t="s">
        <v>239</v>
      </c>
      <c r="E2" s="12" t="s">
        <v>240</v>
      </c>
      <c r="F2" s="12" t="s">
        <v>241</v>
      </c>
      <c r="G2" s="12" t="s">
        <v>242</v>
      </c>
      <c r="H2" s="32" t="s">
        <v>243</v>
      </c>
      <c r="I2" s="33"/>
      <c r="J2" s="33"/>
      <c r="K2" s="33"/>
      <c r="L2" s="33"/>
      <c r="M2" s="34"/>
    </row>
    <row r="3" ht="34.5" customHeight="1">
      <c r="A3" s="35"/>
      <c r="B3" s="35" t="s">
        <v>180</v>
      </c>
      <c r="C3" s="35" t="s">
        <v>236</v>
      </c>
      <c r="D3" s="35" t="s">
        <v>239</v>
      </c>
      <c r="E3" s="35" t="s">
        <v>240</v>
      </c>
      <c r="F3" s="35" t="s">
        <v>241</v>
      </c>
      <c r="G3" s="35" t="s">
        <v>242</v>
      </c>
      <c r="H3" s="36" t="s">
        <v>244</v>
      </c>
      <c r="I3" s="36" t="s">
        <v>245</v>
      </c>
      <c r="J3" s="36" t="s">
        <v>246</v>
      </c>
      <c r="K3" s="36" t="s">
        <v>247</v>
      </c>
      <c r="L3" s="36" t="s">
        <v>248</v>
      </c>
      <c r="M3" s="36" t="s">
        <v>249</v>
      </c>
      <c r="N3" s="35" t="s">
        <v>250</v>
      </c>
      <c r="O3" s="35" t="s">
        <v>251</v>
      </c>
    </row>
    <row r="4">
      <c r="A4" s="19" t="s">
        <v>191</v>
      </c>
      <c r="B4" s="19" t="s">
        <v>192</v>
      </c>
      <c r="C4" s="20">
        <v>800.0</v>
      </c>
      <c r="D4" s="20">
        <v>216.0</v>
      </c>
      <c r="E4" s="20">
        <v>192.0</v>
      </c>
      <c r="F4" s="20">
        <v>248.0</v>
      </c>
      <c r="G4" s="20">
        <v>144.0</v>
      </c>
      <c r="H4" s="20">
        <f t="shared" ref="H4:H23" si="1">G4-ROUND(G4*0.23,0)-ROUND(G4*0.18,0)-ROUND(G4*0.15,0)-ROUND(G4*0.13,0)-ROUND(G4*0.07,0)</f>
        <v>34</v>
      </c>
      <c r="I4" s="20">
        <f t="shared" ref="I4:I23" si="2">ROUND(G4*0.23,0)</f>
        <v>33</v>
      </c>
      <c r="J4" s="20">
        <f t="shared" ref="J4:J23" si="3">ROUND(G4*0.18,0)</f>
        <v>26</v>
      </c>
      <c r="K4" s="20">
        <f t="shared" ref="K4:K23" si="4">ROUND(G4*0.15,0)</f>
        <v>22</v>
      </c>
      <c r="L4" s="20">
        <f t="shared" ref="L4:L23" si="5">ROUND(G4*0.13,0)</f>
        <v>19</v>
      </c>
      <c r="M4" s="20">
        <f t="shared" ref="M4:M23" si="6">ROUND(G4*0.07,0)</f>
        <v>10</v>
      </c>
      <c r="N4" s="21" t="str">
        <f>C4/SUPUESTOS!$B$5</f>
        <v>#DIV/0!</v>
      </c>
      <c r="O4" s="37" t="str">
        <f>C4/SUPUESTOS!$B$7</f>
        <v>#VALUE!</v>
      </c>
    </row>
    <row r="5">
      <c r="A5" s="13" t="s">
        <v>194</v>
      </c>
      <c r="B5" s="13" t="s">
        <v>195</v>
      </c>
      <c r="C5" s="14">
        <v>500.0</v>
      </c>
      <c r="D5" s="14">
        <v>135.0</v>
      </c>
      <c r="E5" s="14">
        <v>120.0</v>
      </c>
      <c r="F5" s="14">
        <v>155.0</v>
      </c>
      <c r="G5" s="14">
        <v>90.0</v>
      </c>
      <c r="H5" s="14">
        <f t="shared" si="1"/>
        <v>21</v>
      </c>
      <c r="I5" s="14">
        <f t="shared" si="2"/>
        <v>21</v>
      </c>
      <c r="J5" s="14">
        <f t="shared" si="3"/>
        <v>16</v>
      </c>
      <c r="K5" s="14">
        <f t="shared" si="4"/>
        <v>14</v>
      </c>
      <c r="L5" s="14">
        <f t="shared" si="5"/>
        <v>12</v>
      </c>
      <c r="M5" s="14">
        <f t="shared" si="6"/>
        <v>6</v>
      </c>
      <c r="N5" s="15" t="str">
        <f>C5/SUPUESTOS!$B$5</f>
        <v>#DIV/0!</v>
      </c>
      <c r="O5" s="38" t="str">
        <f>C5/SUPUESTOS!$B$7</f>
        <v>#VALUE!</v>
      </c>
    </row>
    <row r="6">
      <c r="A6" s="19" t="s">
        <v>196</v>
      </c>
      <c r="B6" s="19" t="s">
        <v>197</v>
      </c>
      <c r="C6" s="20">
        <v>1000.0</v>
      </c>
      <c r="D6" s="20">
        <v>270.0</v>
      </c>
      <c r="E6" s="20">
        <v>240.0</v>
      </c>
      <c r="F6" s="20">
        <v>310.0</v>
      </c>
      <c r="G6" s="20">
        <v>180.0</v>
      </c>
      <c r="H6" s="20">
        <f t="shared" si="1"/>
        <v>44</v>
      </c>
      <c r="I6" s="20">
        <f t="shared" si="2"/>
        <v>41</v>
      </c>
      <c r="J6" s="20">
        <f t="shared" si="3"/>
        <v>32</v>
      </c>
      <c r="K6" s="20">
        <f t="shared" si="4"/>
        <v>27</v>
      </c>
      <c r="L6" s="20">
        <f t="shared" si="5"/>
        <v>23</v>
      </c>
      <c r="M6" s="20">
        <f t="shared" si="6"/>
        <v>13</v>
      </c>
      <c r="N6" s="21" t="str">
        <f>C6/SUPUESTOS!$B$5</f>
        <v>#DIV/0!</v>
      </c>
      <c r="O6" s="37" t="str">
        <f>C6/SUPUESTOS!$B$7</f>
        <v>#VALUE!</v>
      </c>
    </row>
    <row r="7">
      <c r="A7" s="13" t="s">
        <v>199</v>
      </c>
      <c r="B7" s="13" t="s">
        <v>200</v>
      </c>
      <c r="C7" s="14">
        <v>700.0</v>
      </c>
      <c r="D7" s="14">
        <v>189.0</v>
      </c>
      <c r="E7" s="14">
        <v>168.0</v>
      </c>
      <c r="F7" s="14">
        <v>217.0</v>
      </c>
      <c r="G7" s="14">
        <v>126.0</v>
      </c>
      <c r="H7" s="14">
        <f t="shared" si="1"/>
        <v>30</v>
      </c>
      <c r="I7" s="14">
        <f t="shared" si="2"/>
        <v>29</v>
      </c>
      <c r="J7" s="14">
        <f t="shared" si="3"/>
        <v>23</v>
      </c>
      <c r="K7" s="14">
        <f t="shared" si="4"/>
        <v>19</v>
      </c>
      <c r="L7" s="14">
        <f t="shared" si="5"/>
        <v>16</v>
      </c>
      <c r="M7" s="14">
        <f t="shared" si="6"/>
        <v>9</v>
      </c>
      <c r="N7" s="15" t="str">
        <f>C7/SUPUESTOS!$B$5</f>
        <v>#DIV/0!</v>
      </c>
      <c r="O7" s="38" t="str">
        <f>C7/SUPUESTOS!$B$7</f>
        <v>#VALUE!</v>
      </c>
    </row>
    <row r="8">
      <c r="A8" s="19" t="s">
        <v>201</v>
      </c>
      <c r="B8" s="19" t="s">
        <v>202</v>
      </c>
      <c r="C8" s="20">
        <v>600.0</v>
      </c>
      <c r="D8" s="20">
        <v>162.0</v>
      </c>
      <c r="E8" s="20">
        <v>144.0</v>
      </c>
      <c r="F8" s="20">
        <v>186.0</v>
      </c>
      <c r="G8" s="20">
        <v>108.0</v>
      </c>
      <c r="H8" s="20">
        <f t="shared" si="1"/>
        <v>26</v>
      </c>
      <c r="I8" s="20">
        <f t="shared" si="2"/>
        <v>25</v>
      </c>
      <c r="J8" s="20">
        <f t="shared" si="3"/>
        <v>19</v>
      </c>
      <c r="K8" s="20">
        <f t="shared" si="4"/>
        <v>16</v>
      </c>
      <c r="L8" s="20">
        <f t="shared" si="5"/>
        <v>14</v>
      </c>
      <c r="M8" s="20">
        <f t="shared" si="6"/>
        <v>8</v>
      </c>
      <c r="N8" s="21" t="str">
        <f>C8/SUPUESTOS!$B$5</f>
        <v>#DIV/0!</v>
      </c>
      <c r="O8" s="37" t="str">
        <f>C8/SUPUESTOS!$B$7</f>
        <v>#VALUE!</v>
      </c>
    </row>
    <row r="9">
      <c r="A9" s="13" t="s">
        <v>203</v>
      </c>
      <c r="B9" s="13" t="s">
        <v>204</v>
      </c>
      <c r="C9" s="14">
        <v>800.0</v>
      </c>
      <c r="D9" s="14">
        <v>216.0</v>
      </c>
      <c r="E9" s="14">
        <v>192.0</v>
      </c>
      <c r="F9" s="14">
        <v>248.0</v>
      </c>
      <c r="G9" s="14">
        <v>144.0</v>
      </c>
      <c r="H9" s="14">
        <f t="shared" si="1"/>
        <v>34</v>
      </c>
      <c r="I9" s="14">
        <f t="shared" si="2"/>
        <v>33</v>
      </c>
      <c r="J9" s="14">
        <f t="shared" si="3"/>
        <v>26</v>
      </c>
      <c r="K9" s="14">
        <f t="shared" si="4"/>
        <v>22</v>
      </c>
      <c r="L9" s="14">
        <f t="shared" si="5"/>
        <v>19</v>
      </c>
      <c r="M9" s="14">
        <f t="shared" si="6"/>
        <v>10</v>
      </c>
      <c r="N9" s="15" t="str">
        <f>C9/SUPUESTOS!$B$5</f>
        <v>#DIV/0!</v>
      </c>
      <c r="O9" s="38" t="str">
        <f>C9/SUPUESTOS!$B$7</f>
        <v>#VALUE!</v>
      </c>
    </row>
    <row r="10">
      <c r="A10" s="19" t="s">
        <v>206</v>
      </c>
      <c r="B10" s="19" t="s">
        <v>207</v>
      </c>
      <c r="C10" s="20">
        <v>1200.0</v>
      </c>
      <c r="D10" s="20">
        <v>324.0</v>
      </c>
      <c r="E10" s="20">
        <v>288.0</v>
      </c>
      <c r="F10" s="20">
        <v>372.0</v>
      </c>
      <c r="G10" s="20">
        <v>216.0</v>
      </c>
      <c r="H10" s="20">
        <f t="shared" si="1"/>
        <v>52</v>
      </c>
      <c r="I10" s="20">
        <f t="shared" si="2"/>
        <v>50</v>
      </c>
      <c r="J10" s="20">
        <f t="shared" si="3"/>
        <v>39</v>
      </c>
      <c r="K10" s="20">
        <f t="shared" si="4"/>
        <v>32</v>
      </c>
      <c r="L10" s="20">
        <f t="shared" si="5"/>
        <v>28</v>
      </c>
      <c r="M10" s="20">
        <f t="shared" si="6"/>
        <v>15</v>
      </c>
      <c r="N10" s="21" t="str">
        <f>C10/SUPUESTOS!$B$5</f>
        <v>#DIV/0!</v>
      </c>
      <c r="O10" s="37" t="str">
        <f>C10/SUPUESTOS!$B$7</f>
        <v>#VALUE!</v>
      </c>
    </row>
    <row r="11">
      <c r="A11" s="13" t="s">
        <v>208</v>
      </c>
      <c r="B11" s="13" t="s">
        <v>209</v>
      </c>
      <c r="C11" s="14">
        <v>1000.0</v>
      </c>
      <c r="D11" s="14">
        <v>270.0</v>
      </c>
      <c r="E11" s="14">
        <v>240.0</v>
      </c>
      <c r="F11" s="14">
        <v>310.0</v>
      </c>
      <c r="G11" s="14">
        <v>180.0</v>
      </c>
      <c r="H11" s="14">
        <f t="shared" si="1"/>
        <v>44</v>
      </c>
      <c r="I11" s="14">
        <f t="shared" si="2"/>
        <v>41</v>
      </c>
      <c r="J11" s="14">
        <f t="shared" si="3"/>
        <v>32</v>
      </c>
      <c r="K11" s="14">
        <f t="shared" si="4"/>
        <v>27</v>
      </c>
      <c r="L11" s="14">
        <f t="shared" si="5"/>
        <v>23</v>
      </c>
      <c r="M11" s="14">
        <f t="shared" si="6"/>
        <v>13</v>
      </c>
      <c r="N11" s="15" t="str">
        <f>C11/SUPUESTOS!$B$5</f>
        <v>#DIV/0!</v>
      </c>
      <c r="O11" s="38" t="str">
        <f>C11/SUPUESTOS!$B$7</f>
        <v>#VALUE!</v>
      </c>
    </row>
    <row r="12">
      <c r="A12" s="19" t="s">
        <v>210</v>
      </c>
      <c r="B12" s="19" t="s">
        <v>211</v>
      </c>
      <c r="C12" s="20">
        <v>400.0</v>
      </c>
      <c r="D12" s="20">
        <v>108.0</v>
      </c>
      <c r="E12" s="20">
        <v>96.0</v>
      </c>
      <c r="F12" s="20">
        <v>124.0</v>
      </c>
      <c r="G12" s="20">
        <v>72.0</v>
      </c>
      <c r="H12" s="20">
        <f t="shared" si="1"/>
        <v>17</v>
      </c>
      <c r="I12" s="20">
        <f t="shared" si="2"/>
        <v>17</v>
      </c>
      <c r="J12" s="20">
        <f t="shared" si="3"/>
        <v>13</v>
      </c>
      <c r="K12" s="20">
        <f t="shared" si="4"/>
        <v>11</v>
      </c>
      <c r="L12" s="20">
        <f t="shared" si="5"/>
        <v>9</v>
      </c>
      <c r="M12" s="20">
        <f t="shared" si="6"/>
        <v>5</v>
      </c>
      <c r="N12" s="21" t="str">
        <f>C12/SUPUESTOS!$B$5</f>
        <v>#DIV/0!</v>
      </c>
      <c r="O12" s="37" t="str">
        <f>C12/SUPUESTOS!$B$7</f>
        <v>#VALUE!</v>
      </c>
    </row>
    <row r="13">
      <c r="A13" s="13" t="s">
        <v>212</v>
      </c>
      <c r="B13" s="13" t="s">
        <v>213</v>
      </c>
      <c r="C13" s="14">
        <v>250.0</v>
      </c>
      <c r="D13" s="14">
        <v>68.0</v>
      </c>
      <c r="E13" s="14">
        <v>60.0</v>
      </c>
      <c r="F13" s="14">
        <v>77.0</v>
      </c>
      <c r="G13" s="14">
        <v>45.0</v>
      </c>
      <c r="H13" s="14">
        <f t="shared" si="1"/>
        <v>11</v>
      </c>
      <c r="I13" s="14">
        <f t="shared" si="2"/>
        <v>10</v>
      </c>
      <c r="J13" s="14">
        <f t="shared" si="3"/>
        <v>8</v>
      </c>
      <c r="K13" s="14">
        <f t="shared" si="4"/>
        <v>7</v>
      </c>
      <c r="L13" s="14">
        <f t="shared" si="5"/>
        <v>6</v>
      </c>
      <c r="M13" s="14">
        <f t="shared" si="6"/>
        <v>3</v>
      </c>
      <c r="N13" s="15" t="str">
        <f>C13/SUPUESTOS!$B$5</f>
        <v>#DIV/0!</v>
      </c>
      <c r="O13" s="38" t="str">
        <f>C13/SUPUESTOS!$B$7</f>
        <v>#VALUE!</v>
      </c>
    </row>
    <row r="14">
      <c r="A14" s="19" t="s">
        <v>214</v>
      </c>
      <c r="B14" s="19" t="s">
        <v>215</v>
      </c>
      <c r="C14" s="20">
        <v>900.0</v>
      </c>
      <c r="D14" s="20">
        <v>243.0</v>
      </c>
      <c r="E14" s="20">
        <v>216.0</v>
      </c>
      <c r="F14" s="20">
        <v>279.0</v>
      </c>
      <c r="G14" s="20">
        <v>162.0</v>
      </c>
      <c r="H14" s="20">
        <f t="shared" si="1"/>
        <v>40</v>
      </c>
      <c r="I14" s="20">
        <f t="shared" si="2"/>
        <v>37</v>
      </c>
      <c r="J14" s="20">
        <f t="shared" si="3"/>
        <v>29</v>
      </c>
      <c r="K14" s="20">
        <f t="shared" si="4"/>
        <v>24</v>
      </c>
      <c r="L14" s="20">
        <f t="shared" si="5"/>
        <v>21</v>
      </c>
      <c r="M14" s="20">
        <f t="shared" si="6"/>
        <v>11</v>
      </c>
      <c r="N14" s="21" t="str">
        <f>C14/SUPUESTOS!$B$5</f>
        <v>#DIV/0!</v>
      </c>
      <c r="O14" s="37" t="str">
        <f>C14/SUPUESTOS!$B$7</f>
        <v>#VALUE!</v>
      </c>
    </row>
    <row r="15">
      <c r="A15" s="13" t="s">
        <v>217</v>
      </c>
      <c r="B15" s="13" t="s">
        <v>218</v>
      </c>
      <c r="C15" s="14">
        <v>500.0</v>
      </c>
      <c r="D15" s="14">
        <v>135.0</v>
      </c>
      <c r="E15" s="14">
        <v>120.0</v>
      </c>
      <c r="F15" s="14">
        <v>155.0</v>
      </c>
      <c r="G15" s="14">
        <v>90.0</v>
      </c>
      <c r="H15" s="14">
        <f t="shared" si="1"/>
        <v>21</v>
      </c>
      <c r="I15" s="14">
        <f t="shared" si="2"/>
        <v>21</v>
      </c>
      <c r="J15" s="14">
        <f t="shared" si="3"/>
        <v>16</v>
      </c>
      <c r="K15" s="14">
        <f t="shared" si="4"/>
        <v>14</v>
      </c>
      <c r="L15" s="14">
        <f t="shared" si="5"/>
        <v>12</v>
      </c>
      <c r="M15" s="14">
        <f t="shared" si="6"/>
        <v>6</v>
      </c>
      <c r="N15" s="15" t="str">
        <f>C15/SUPUESTOS!$B$5</f>
        <v>#DIV/0!</v>
      </c>
      <c r="O15" s="38" t="str">
        <f>C15/SUPUESTOS!$B$7</f>
        <v>#VALUE!</v>
      </c>
    </row>
    <row r="16">
      <c r="A16" s="19" t="s">
        <v>219</v>
      </c>
      <c r="B16" s="19" t="s">
        <v>220</v>
      </c>
      <c r="C16" s="20">
        <v>1000.0</v>
      </c>
      <c r="D16" s="20">
        <v>270.0</v>
      </c>
      <c r="E16" s="20">
        <v>240.0</v>
      </c>
      <c r="F16" s="20">
        <v>310.0</v>
      </c>
      <c r="G16" s="20">
        <v>180.0</v>
      </c>
      <c r="H16" s="20">
        <f t="shared" si="1"/>
        <v>44</v>
      </c>
      <c r="I16" s="20">
        <f t="shared" si="2"/>
        <v>41</v>
      </c>
      <c r="J16" s="20">
        <f t="shared" si="3"/>
        <v>32</v>
      </c>
      <c r="K16" s="20">
        <f t="shared" si="4"/>
        <v>27</v>
      </c>
      <c r="L16" s="20">
        <f t="shared" si="5"/>
        <v>23</v>
      </c>
      <c r="M16" s="20">
        <f t="shared" si="6"/>
        <v>13</v>
      </c>
      <c r="N16" s="21" t="str">
        <f>C16/SUPUESTOS!$B$5</f>
        <v>#DIV/0!</v>
      </c>
      <c r="O16" s="37" t="str">
        <f>C16/SUPUESTOS!$B$7</f>
        <v>#VALUE!</v>
      </c>
    </row>
    <row r="17">
      <c r="A17" s="13" t="s">
        <v>221</v>
      </c>
      <c r="B17" s="13" t="s">
        <v>222</v>
      </c>
      <c r="C17" s="14">
        <v>1000.0</v>
      </c>
      <c r="D17" s="14">
        <v>270.0</v>
      </c>
      <c r="E17" s="14">
        <v>240.0</v>
      </c>
      <c r="F17" s="14">
        <v>310.0</v>
      </c>
      <c r="G17" s="14">
        <v>180.0</v>
      </c>
      <c r="H17" s="14">
        <f t="shared" si="1"/>
        <v>44</v>
      </c>
      <c r="I17" s="14">
        <f t="shared" si="2"/>
        <v>41</v>
      </c>
      <c r="J17" s="14">
        <f t="shared" si="3"/>
        <v>32</v>
      </c>
      <c r="K17" s="14">
        <f t="shared" si="4"/>
        <v>27</v>
      </c>
      <c r="L17" s="14">
        <f t="shared" si="5"/>
        <v>23</v>
      </c>
      <c r="M17" s="14">
        <f t="shared" si="6"/>
        <v>13</v>
      </c>
      <c r="N17" s="15" t="str">
        <f>C17/SUPUESTOS!$B$5</f>
        <v>#DIV/0!</v>
      </c>
      <c r="O17" s="38" t="str">
        <f>C17/SUPUESTOS!$B$7</f>
        <v>#VALUE!</v>
      </c>
    </row>
    <row r="18">
      <c r="A18" s="19" t="s">
        <v>224</v>
      </c>
      <c r="B18" s="19" t="s">
        <v>225</v>
      </c>
      <c r="C18" s="20">
        <v>900.0</v>
      </c>
      <c r="D18" s="20">
        <v>243.0</v>
      </c>
      <c r="E18" s="20">
        <v>216.0</v>
      </c>
      <c r="F18" s="20">
        <v>279.0</v>
      </c>
      <c r="G18" s="20">
        <v>162.0</v>
      </c>
      <c r="H18" s="20">
        <f t="shared" si="1"/>
        <v>40</v>
      </c>
      <c r="I18" s="20">
        <f t="shared" si="2"/>
        <v>37</v>
      </c>
      <c r="J18" s="20">
        <f t="shared" si="3"/>
        <v>29</v>
      </c>
      <c r="K18" s="20">
        <f t="shared" si="4"/>
        <v>24</v>
      </c>
      <c r="L18" s="20">
        <f t="shared" si="5"/>
        <v>21</v>
      </c>
      <c r="M18" s="20">
        <f t="shared" si="6"/>
        <v>11</v>
      </c>
      <c r="N18" s="21" t="str">
        <f>C18/SUPUESTOS!$B$5</f>
        <v>#DIV/0!</v>
      </c>
      <c r="O18" s="37" t="str">
        <f>C18/SUPUESTOS!$B$7</f>
        <v>#VALUE!</v>
      </c>
    </row>
    <row r="19">
      <c r="A19" s="13" t="s">
        <v>226</v>
      </c>
      <c r="B19" s="13" t="s">
        <v>227</v>
      </c>
      <c r="C19" s="14">
        <v>700.0</v>
      </c>
      <c r="D19" s="14">
        <v>189.0</v>
      </c>
      <c r="E19" s="14">
        <v>168.0</v>
      </c>
      <c r="F19" s="14">
        <v>217.0</v>
      </c>
      <c r="G19" s="14">
        <v>126.0</v>
      </c>
      <c r="H19" s="14">
        <f t="shared" si="1"/>
        <v>30</v>
      </c>
      <c r="I19" s="14">
        <f t="shared" si="2"/>
        <v>29</v>
      </c>
      <c r="J19" s="14">
        <f t="shared" si="3"/>
        <v>23</v>
      </c>
      <c r="K19" s="14">
        <f t="shared" si="4"/>
        <v>19</v>
      </c>
      <c r="L19" s="14">
        <f t="shared" si="5"/>
        <v>16</v>
      </c>
      <c r="M19" s="14">
        <f t="shared" si="6"/>
        <v>9</v>
      </c>
      <c r="N19" s="15" t="str">
        <f>C19/SUPUESTOS!$B$5</f>
        <v>#DIV/0!</v>
      </c>
      <c r="O19" s="38" t="str">
        <f>C19/SUPUESTOS!$B$7</f>
        <v>#VALUE!</v>
      </c>
    </row>
    <row r="20">
      <c r="A20" s="19" t="s">
        <v>228</v>
      </c>
      <c r="B20" s="19" t="s">
        <v>229</v>
      </c>
      <c r="C20" s="20">
        <v>1500.0</v>
      </c>
      <c r="D20" s="20">
        <v>405.0</v>
      </c>
      <c r="E20" s="20">
        <v>360.0</v>
      </c>
      <c r="F20" s="20">
        <v>465.0</v>
      </c>
      <c r="G20" s="20">
        <v>270.0</v>
      </c>
      <c r="H20" s="20">
        <f t="shared" si="1"/>
        <v>64</v>
      </c>
      <c r="I20" s="20">
        <f t="shared" si="2"/>
        <v>62</v>
      </c>
      <c r="J20" s="20">
        <f t="shared" si="3"/>
        <v>49</v>
      </c>
      <c r="K20" s="20">
        <f t="shared" si="4"/>
        <v>41</v>
      </c>
      <c r="L20" s="20">
        <f t="shared" si="5"/>
        <v>35</v>
      </c>
      <c r="M20" s="20">
        <f t="shared" si="6"/>
        <v>19</v>
      </c>
      <c r="N20" s="21" t="str">
        <f>C20/SUPUESTOS!$B$5</f>
        <v>#DIV/0!</v>
      </c>
      <c r="O20" s="37" t="str">
        <f>C20/SUPUESTOS!$B$7</f>
        <v>#VALUE!</v>
      </c>
    </row>
    <row r="21" ht="15.75" customHeight="1">
      <c r="A21" s="13" t="s">
        <v>230</v>
      </c>
      <c r="B21" s="13" t="s">
        <v>231</v>
      </c>
      <c r="C21" s="14">
        <v>800.0</v>
      </c>
      <c r="D21" s="14">
        <v>216.0</v>
      </c>
      <c r="E21" s="14">
        <v>192.0</v>
      </c>
      <c r="F21" s="14">
        <v>248.0</v>
      </c>
      <c r="G21" s="14">
        <v>144.0</v>
      </c>
      <c r="H21" s="14">
        <f t="shared" si="1"/>
        <v>34</v>
      </c>
      <c r="I21" s="14">
        <f t="shared" si="2"/>
        <v>33</v>
      </c>
      <c r="J21" s="14">
        <f t="shared" si="3"/>
        <v>26</v>
      </c>
      <c r="K21" s="14">
        <f t="shared" si="4"/>
        <v>22</v>
      </c>
      <c r="L21" s="14">
        <f t="shared" si="5"/>
        <v>19</v>
      </c>
      <c r="M21" s="14">
        <f t="shared" si="6"/>
        <v>10</v>
      </c>
      <c r="N21" s="15" t="str">
        <f>C21/SUPUESTOS!$B$5</f>
        <v>#DIV/0!</v>
      </c>
      <c r="O21" s="38" t="str">
        <f>C21/SUPUESTOS!$B$7</f>
        <v>#VALUE!</v>
      </c>
    </row>
    <row r="22" ht="15.75" customHeight="1">
      <c r="A22" s="19" t="s">
        <v>232</v>
      </c>
      <c r="B22" s="19" t="s">
        <v>233</v>
      </c>
      <c r="C22" s="20">
        <v>300.0</v>
      </c>
      <c r="D22" s="20">
        <v>81.0</v>
      </c>
      <c r="E22" s="20">
        <v>72.0</v>
      </c>
      <c r="F22" s="20">
        <v>93.0</v>
      </c>
      <c r="G22" s="20">
        <v>54.0</v>
      </c>
      <c r="H22" s="20">
        <f t="shared" si="1"/>
        <v>13</v>
      </c>
      <c r="I22" s="20">
        <f t="shared" si="2"/>
        <v>12</v>
      </c>
      <c r="J22" s="20">
        <f t="shared" si="3"/>
        <v>10</v>
      </c>
      <c r="K22" s="20">
        <f t="shared" si="4"/>
        <v>8</v>
      </c>
      <c r="L22" s="20">
        <f t="shared" si="5"/>
        <v>7</v>
      </c>
      <c r="M22" s="20">
        <f t="shared" si="6"/>
        <v>4</v>
      </c>
      <c r="N22" s="21" t="str">
        <f>C22/SUPUESTOS!$B$5</f>
        <v>#DIV/0!</v>
      </c>
      <c r="O22" s="37" t="str">
        <f>C22/SUPUESTOS!$B$7</f>
        <v>#VALUE!</v>
      </c>
    </row>
    <row r="23" ht="15.75" customHeight="1">
      <c r="A23" s="13" t="s">
        <v>234</v>
      </c>
      <c r="B23" s="13" t="s">
        <v>235</v>
      </c>
      <c r="C23" s="14">
        <v>700.0</v>
      </c>
      <c r="D23" s="14">
        <v>189.0</v>
      </c>
      <c r="E23" s="14">
        <v>168.0</v>
      </c>
      <c r="F23" s="14">
        <v>217.0</v>
      </c>
      <c r="G23" s="14">
        <v>126.0</v>
      </c>
      <c r="H23" s="14">
        <f t="shared" si="1"/>
        <v>30</v>
      </c>
      <c r="I23" s="14">
        <f t="shared" si="2"/>
        <v>29</v>
      </c>
      <c r="J23" s="14">
        <f t="shared" si="3"/>
        <v>23</v>
      </c>
      <c r="K23" s="14">
        <f t="shared" si="4"/>
        <v>19</v>
      </c>
      <c r="L23" s="14">
        <f t="shared" si="5"/>
        <v>16</v>
      </c>
      <c r="M23" s="14">
        <f t="shared" si="6"/>
        <v>9</v>
      </c>
      <c r="N23" s="15" t="str">
        <f>C23/SUPUESTOS!$B$5</f>
        <v>#DIV/0!</v>
      </c>
      <c r="O23" s="38" t="str">
        <f>C23/SUPUESTOS!$B$7</f>
        <v>#VALUE!</v>
      </c>
    </row>
    <row r="24" ht="15.75" customHeight="1">
      <c r="A24" s="25" t="s">
        <v>236</v>
      </c>
      <c r="B24" s="26"/>
      <c r="C24" s="27">
        <f t="shared" ref="C24:O24" si="7">SUM(C4:C23)</f>
        <v>15550</v>
      </c>
      <c r="D24" s="27">
        <f t="shared" si="7"/>
        <v>4199</v>
      </c>
      <c r="E24" s="27">
        <f t="shared" si="7"/>
        <v>3732</v>
      </c>
      <c r="F24" s="27">
        <f t="shared" si="7"/>
        <v>4820</v>
      </c>
      <c r="G24" s="27">
        <f t="shared" si="7"/>
        <v>2799</v>
      </c>
      <c r="H24" s="27">
        <f t="shared" si="7"/>
        <v>673</v>
      </c>
      <c r="I24" s="27">
        <f t="shared" si="7"/>
        <v>642</v>
      </c>
      <c r="J24" s="27">
        <f t="shared" si="7"/>
        <v>503</v>
      </c>
      <c r="K24" s="27">
        <f t="shared" si="7"/>
        <v>422</v>
      </c>
      <c r="L24" s="27">
        <f t="shared" si="7"/>
        <v>362</v>
      </c>
      <c r="M24" s="27">
        <f t="shared" si="7"/>
        <v>197</v>
      </c>
      <c r="N24" s="30" t="str">
        <f t="shared" si="7"/>
        <v>#DIV/0!</v>
      </c>
      <c r="O24" s="30" t="str">
        <f t="shared" si="7"/>
        <v>#VALUE!</v>
      </c>
    </row>
    <row r="25" ht="15.75" customHeight="1"/>
    <row r="26" ht="15.75" customHeight="1"/>
    <row r="27" ht="15.75" customHeight="1">
      <c r="A27" s="39" t="s">
        <v>252</v>
      </c>
      <c r="B27" s="2"/>
      <c r="C27" s="3"/>
    </row>
    <row r="28" ht="15.75" customHeight="1">
      <c r="A28" s="40" t="s">
        <v>253</v>
      </c>
      <c r="B28" s="40" t="s">
        <v>254</v>
      </c>
      <c r="C28" s="40" t="s">
        <v>255</v>
      </c>
    </row>
    <row r="29" ht="15.75" customHeight="1">
      <c r="A29" s="41" t="s">
        <v>244</v>
      </c>
      <c r="B29" s="42">
        <v>0.24</v>
      </c>
      <c r="C29" s="43">
        <f>G24*B29</f>
        <v>671.76</v>
      </c>
    </row>
    <row r="30" ht="15.75" customHeight="1">
      <c r="A30" s="41" t="s">
        <v>245</v>
      </c>
      <c r="B30" s="44">
        <v>0.23</v>
      </c>
      <c r="C30" s="45">
        <f>G24*B30</f>
        <v>643.77</v>
      </c>
    </row>
    <row r="31" ht="15.75" customHeight="1">
      <c r="A31" s="41" t="s">
        <v>246</v>
      </c>
      <c r="B31" s="42">
        <v>0.18</v>
      </c>
      <c r="C31" s="43">
        <f>G24*B31</f>
        <v>503.82</v>
      </c>
    </row>
    <row r="32" ht="15.75" customHeight="1">
      <c r="A32" s="41" t="s">
        <v>247</v>
      </c>
      <c r="B32" s="44">
        <v>0.15</v>
      </c>
      <c r="C32" s="45">
        <f>G24*B32</f>
        <v>419.85</v>
      </c>
    </row>
    <row r="33" ht="15.75" customHeight="1">
      <c r="A33" s="41" t="s">
        <v>248</v>
      </c>
      <c r="B33" s="42">
        <v>0.13</v>
      </c>
      <c r="C33" s="43">
        <f>G24*B33</f>
        <v>363.87</v>
      </c>
    </row>
    <row r="34" ht="15.75" customHeight="1">
      <c r="A34" s="41" t="s">
        <v>249</v>
      </c>
      <c r="B34" s="44">
        <v>0.07</v>
      </c>
      <c r="C34" s="45">
        <f>G24*B34</f>
        <v>195.93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H2:M2"/>
    <mergeCell ref="A27:C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3" width="35.0"/>
    <col customWidth="1" min="4" max="5" width="15.0"/>
    <col customWidth="1" min="6" max="6" width="12.0"/>
    <col customWidth="1" min="7" max="26" width="8.71"/>
  </cols>
  <sheetData>
    <row r="1" ht="30.0" customHeight="1">
      <c r="A1" s="11" t="s">
        <v>256</v>
      </c>
      <c r="B1" s="2"/>
      <c r="C1" s="2"/>
      <c r="D1" s="2"/>
      <c r="E1" s="2"/>
      <c r="F1" s="3"/>
    </row>
    <row r="2">
      <c r="A2" s="46" t="s">
        <v>257</v>
      </c>
      <c r="B2" s="46" t="s">
        <v>258</v>
      </c>
      <c r="C2" s="46" t="s">
        <v>259</v>
      </c>
      <c r="D2" s="46" t="s">
        <v>260</v>
      </c>
      <c r="E2" s="46" t="s">
        <v>261</v>
      </c>
      <c r="F2" s="46" t="s">
        <v>262</v>
      </c>
    </row>
    <row r="3">
      <c r="A3" s="47">
        <v>1.0</v>
      </c>
      <c r="B3" s="13" t="s">
        <v>263</v>
      </c>
      <c r="C3" s="48" t="s">
        <v>264</v>
      </c>
      <c r="D3" s="15" t="str">
        <f>SUPUESTOS!B20</f>
        <v/>
      </c>
      <c r="E3" s="15" t="str">
        <f>D3*SUPUESTOS!$B$4</f>
        <v>#VALUE!</v>
      </c>
      <c r="F3" s="49" t="str">
        <f>D3/D3</f>
        <v>#DIV/0!</v>
      </c>
    </row>
    <row r="4">
      <c r="A4" s="50">
        <v>2.0</v>
      </c>
      <c r="B4" s="19" t="s">
        <v>265</v>
      </c>
      <c r="C4" s="51" t="s">
        <v>266</v>
      </c>
      <c r="D4" s="21" t="str">
        <f>SUPUESTOS!B21</f>
        <v>FOB_TOT</v>
      </c>
      <c r="E4" s="21" t="str">
        <f>D4*SUPUESTOS!$B$4</f>
        <v>#VALUE!</v>
      </c>
      <c r="F4" s="52" t="str">
        <f t="shared" ref="F4:F6" si="1">D4/$D$3</f>
        <v>#VALUE!</v>
      </c>
    </row>
    <row r="5">
      <c r="A5" s="47">
        <v>3.0</v>
      </c>
      <c r="B5" s="13" t="s">
        <v>267</v>
      </c>
      <c r="C5" s="48" t="s">
        <v>268</v>
      </c>
      <c r="D5" s="15" t="str">
        <f>SUPUESTOS!B22</f>
        <v>FLETE</v>
      </c>
      <c r="E5" s="15" t="str">
        <f>D5*SUPUESTOS!$B$4</f>
        <v>#VALUE!</v>
      </c>
      <c r="F5" s="49" t="str">
        <f t="shared" si="1"/>
        <v>#VALUE!</v>
      </c>
    </row>
    <row r="6">
      <c r="A6" s="53"/>
      <c r="B6" s="54" t="s">
        <v>269</v>
      </c>
      <c r="C6" s="55"/>
      <c r="D6" s="56">
        <f>SUM(D3:D5)</f>
        <v>0</v>
      </c>
      <c r="E6" s="56" t="str">
        <f>D6*SUPUESTOS!$B$4</f>
        <v>#VALUE!</v>
      </c>
      <c r="F6" s="57" t="str">
        <f t="shared" si="1"/>
        <v>#DIV/0!</v>
      </c>
    </row>
    <row r="7">
      <c r="A7" s="47">
        <v>4.0</v>
      </c>
      <c r="B7" s="13" t="s">
        <v>270</v>
      </c>
      <c r="C7" s="48" t="s">
        <v>271</v>
      </c>
      <c r="D7" s="15" t="str">
        <f>SUPUESTOS!B24</f>
        <v>SEG</v>
      </c>
      <c r="E7" s="15" t="str">
        <f>D8*SUPUESTOS!$B$4</f>
        <v>#VALUE!</v>
      </c>
      <c r="F7" s="49" t="str">
        <f t="shared" ref="F7:F12" si="2">D8/$D$3</f>
        <v>#VALUE!</v>
      </c>
    </row>
    <row r="8">
      <c r="A8" s="50">
        <v>5.0</v>
      </c>
      <c r="B8" s="19" t="s">
        <v>272</v>
      </c>
      <c r="C8" s="51" t="s">
        <v>273</v>
      </c>
      <c r="D8" s="21" t="str">
        <f>SUPUESTOS!B25</f>
        <v>CIF_VAL</v>
      </c>
      <c r="E8" s="21" t="str">
        <f>D9*SUPUESTOS!$B$4</f>
        <v>#VALUE!</v>
      </c>
      <c r="F8" s="52" t="str">
        <f t="shared" si="2"/>
        <v>#VALUE!</v>
      </c>
    </row>
    <row r="9">
      <c r="A9" s="47">
        <v>6.0</v>
      </c>
      <c r="B9" s="13" t="s">
        <v>274</v>
      </c>
      <c r="C9" s="48" t="s">
        <v>275</v>
      </c>
      <c r="D9" s="15" t="str">
        <f>SUPUESTOS!B27</f>
        <v>GP</v>
      </c>
      <c r="E9" s="15" t="str">
        <f>D10*SUPUESTOS!$B$4</f>
        <v>#VALUE!</v>
      </c>
      <c r="F9" s="49" t="str">
        <f t="shared" si="2"/>
        <v>#VALUE!</v>
      </c>
    </row>
    <row r="10">
      <c r="A10" s="50">
        <v>7.0</v>
      </c>
      <c r="B10" s="19" t="s">
        <v>276</v>
      </c>
      <c r="C10" s="51" t="s">
        <v>277</v>
      </c>
      <c r="D10" s="21" t="str">
        <f>SUPUESTOS!B28</f>
        <v>AG_PCT</v>
      </c>
      <c r="E10" s="21" t="str">
        <f>D11*SUPUESTOS!$B$4</f>
        <v>#VALUE!</v>
      </c>
      <c r="F10" s="52" t="str">
        <f t="shared" si="2"/>
        <v>#VALUE!</v>
      </c>
    </row>
    <row r="11">
      <c r="A11" s="47">
        <v>8.0</v>
      </c>
      <c r="B11" s="13" t="s">
        <v>278</v>
      </c>
      <c r="C11" s="48" t="s">
        <v>279</v>
      </c>
      <c r="D11" s="15" t="str">
        <f>SUPUESTOS!B31</f>
        <v>MERMA_PCT</v>
      </c>
      <c r="E11" s="15" t="str">
        <f>D12*SUPUESTOS!$B$4</f>
        <v>#REF!</v>
      </c>
      <c r="F11" s="49" t="str">
        <f t="shared" si="2"/>
        <v>#REF!</v>
      </c>
    </row>
    <row r="12">
      <c r="A12" s="53"/>
      <c r="B12" s="54" t="s">
        <v>280</v>
      </c>
      <c r="C12" s="55" t="s">
        <v>281</v>
      </c>
      <c r="D12" s="56" t="str">
        <f>SUM(D8:D12)</f>
        <v>#REF!</v>
      </c>
      <c r="E12" s="56" t="str">
        <f>D13*SUPUESTOS!$B$4</f>
        <v>#VALUE!</v>
      </c>
      <c r="F12" s="57" t="str">
        <f t="shared" si="2"/>
        <v>#VALUE!</v>
      </c>
    </row>
    <row r="13">
      <c r="A13" s="47">
        <v>9.0</v>
      </c>
      <c r="B13" s="13" t="s">
        <v>282</v>
      </c>
      <c r="C13" s="48" t="s">
        <v>283</v>
      </c>
      <c r="D13" s="15" t="str">
        <f>SUPUESTOS!B33</f>
        <v>GA_PCT</v>
      </c>
      <c r="E13" s="15" t="str">
        <f>D15*SUPUESTOS!$B$4</f>
        <v>#REF!</v>
      </c>
      <c r="F13" s="49" t="str">
        <f t="shared" ref="F13:F15" si="3">D15/$D$3</f>
        <v>#REF!</v>
      </c>
    </row>
    <row r="14">
      <c r="A14" s="50">
        <v>10.0</v>
      </c>
      <c r="B14" s="19" t="s">
        <v>284</v>
      </c>
      <c r="C14" s="51" t="s">
        <v>285</v>
      </c>
      <c r="D14" s="21" t="str">
        <f>SUPUESTOS!B36</f>
        <v>IVA_PCT</v>
      </c>
      <c r="E14" s="21" t="str">
        <f>D16*SUPUESTOS!$B$4</f>
        <v>#VALUE!</v>
      </c>
      <c r="F14" s="52" t="str">
        <f t="shared" si="3"/>
        <v>#VALUE!</v>
      </c>
    </row>
    <row r="15">
      <c r="A15" s="53"/>
      <c r="B15" s="54" t="s">
        <v>286</v>
      </c>
      <c r="C15" s="55" t="s">
        <v>287</v>
      </c>
      <c r="D15" s="56" t="str">
        <f>D15+D16</f>
        <v>#REF!</v>
      </c>
      <c r="E15" s="56" t="str">
        <f>D17*SUPUESTOS!$B$4</f>
        <v>#VALUE!</v>
      </c>
      <c r="F15" s="57" t="str">
        <f t="shared" si="3"/>
        <v>#DIV/0!</v>
      </c>
    </row>
    <row r="16">
      <c r="A16" s="25"/>
      <c r="B16" s="58" t="s">
        <v>288</v>
      </c>
      <c r="C16" s="59"/>
      <c r="D16" s="30" t="str">
        <f>SUPUESTOS!B38</f>
        <v>TRIB</v>
      </c>
      <c r="E16" s="30" t="str">
        <f>D19*SUPUESTOS!$B$4</f>
        <v>#VALUE!</v>
      </c>
      <c r="F16" s="60" t="str">
        <f>D19/$D$3</f>
        <v>#DIV/0!</v>
      </c>
    </row>
    <row r="21" ht="15.75" customHeight="1"/>
    <row r="22" ht="15.75" customHeight="1">
      <c r="A22" s="31" t="s">
        <v>289</v>
      </c>
      <c r="B22" s="2"/>
      <c r="C22" s="2"/>
      <c r="D22" s="2"/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2:F2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0"/>
    <col customWidth="1" min="3" max="3" width="24.0"/>
    <col customWidth="1" min="4" max="4" width="14.0"/>
    <col customWidth="1" min="5" max="5" width="12.0"/>
    <col customWidth="1" min="6" max="6" width="9.0"/>
    <col customWidth="1" min="7" max="7" width="6.0"/>
    <col customWidth="1" min="8" max="8" width="20.0"/>
    <col customWidth="1" min="9" max="26" width="8.71"/>
  </cols>
  <sheetData>
    <row r="1" ht="30.0" customHeight="1">
      <c r="A1" s="11" t="s">
        <v>290</v>
      </c>
      <c r="B1" s="2"/>
      <c r="C1" s="2"/>
      <c r="D1" s="2"/>
      <c r="E1" s="2"/>
      <c r="F1" s="2"/>
      <c r="G1" s="2"/>
      <c r="H1" s="3"/>
    </row>
    <row r="2" ht="34.5" customHeight="1">
      <c r="A2" s="46" t="s">
        <v>291</v>
      </c>
      <c r="B2" s="46" t="s">
        <v>179</v>
      </c>
      <c r="C2" s="46" t="s">
        <v>180</v>
      </c>
      <c r="D2" s="46" t="s">
        <v>181</v>
      </c>
      <c r="E2" s="46" t="s">
        <v>188</v>
      </c>
      <c r="F2" s="46" t="s">
        <v>292</v>
      </c>
      <c r="G2" s="46" t="s">
        <v>293</v>
      </c>
      <c r="H2" s="46" t="s">
        <v>294</v>
      </c>
    </row>
    <row r="3">
      <c r="A3" s="47">
        <v>1.0</v>
      </c>
      <c r="B3" s="13" t="s">
        <v>191</v>
      </c>
      <c r="C3" s="13" t="s">
        <v>192</v>
      </c>
      <c r="D3" s="47" t="s">
        <v>193</v>
      </c>
      <c r="E3" s="15">
        <v>14400.0</v>
      </c>
      <c r="F3" s="49">
        <f t="shared" ref="F3:F22" si="1">E3/E$23</f>
        <v>0.2102957284</v>
      </c>
      <c r="G3" s="49">
        <f t="shared" ref="G3:G22" si="2">SUM(E$3:E3)/E$23</f>
        <v>0.2102957284</v>
      </c>
      <c r="H3" s="61" t="s">
        <v>295</v>
      </c>
    </row>
    <row r="4">
      <c r="A4" s="50">
        <v>2.0</v>
      </c>
      <c r="B4" s="19" t="s">
        <v>194</v>
      </c>
      <c r="C4" s="19" t="s">
        <v>195</v>
      </c>
      <c r="D4" s="50" t="s">
        <v>193</v>
      </c>
      <c r="E4" s="21">
        <v>10000.0</v>
      </c>
      <c r="F4" s="52">
        <f t="shared" si="1"/>
        <v>0.1460387003</v>
      </c>
      <c r="G4" s="52">
        <f t="shared" si="2"/>
        <v>0.3563344286</v>
      </c>
      <c r="H4" s="61" t="s">
        <v>295</v>
      </c>
    </row>
    <row r="5">
      <c r="A5" s="47">
        <v>3.0</v>
      </c>
      <c r="B5" s="13" t="s">
        <v>203</v>
      </c>
      <c r="C5" s="13" t="s">
        <v>204</v>
      </c>
      <c r="D5" s="47" t="s">
        <v>205</v>
      </c>
      <c r="E5" s="15">
        <v>4640.0</v>
      </c>
      <c r="F5" s="49">
        <f t="shared" si="1"/>
        <v>0.06776195692</v>
      </c>
      <c r="G5" s="49">
        <f t="shared" si="2"/>
        <v>0.4240963855</v>
      </c>
      <c r="H5" s="61" t="s">
        <v>295</v>
      </c>
    </row>
    <row r="6">
      <c r="A6" s="50">
        <v>4.0</v>
      </c>
      <c r="B6" s="19" t="s">
        <v>196</v>
      </c>
      <c r="C6" s="19" t="s">
        <v>197</v>
      </c>
      <c r="D6" s="50" t="s">
        <v>198</v>
      </c>
      <c r="E6" s="21">
        <v>4500.0</v>
      </c>
      <c r="F6" s="52">
        <f t="shared" si="1"/>
        <v>0.06571741512</v>
      </c>
      <c r="G6" s="52">
        <f t="shared" si="2"/>
        <v>0.4898138007</v>
      </c>
      <c r="H6" s="61" t="s">
        <v>295</v>
      </c>
    </row>
    <row r="7">
      <c r="A7" s="47">
        <v>5.0</v>
      </c>
      <c r="B7" s="13" t="s">
        <v>221</v>
      </c>
      <c r="C7" s="13" t="s">
        <v>222</v>
      </c>
      <c r="D7" s="47" t="s">
        <v>223</v>
      </c>
      <c r="E7" s="15">
        <v>3800.0</v>
      </c>
      <c r="F7" s="49">
        <f t="shared" si="1"/>
        <v>0.0554947061</v>
      </c>
      <c r="G7" s="49">
        <f t="shared" si="2"/>
        <v>0.5453085068</v>
      </c>
      <c r="H7" s="61" t="s">
        <v>295</v>
      </c>
    </row>
    <row r="8">
      <c r="A8" s="50">
        <v>6.0</v>
      </c>
      <c r="B8" s="19" t="s">
        <v>217</v>
      </c>
      <c r="C8" s="19" t="s">
        <v>218</v>
      </c>
      <c r="D8" s="50" t="s">
        <v>216</v>
      </c>
      <c r="E8" s="21">
        <v>3250.0</v>
      </c>
      <c r="F8" s="52">
        <f t="shared" si="1"/>
        <v>0.04746257758</v>
      </c>
      <c r="G8" s="52">
        <f t="shared" si="2"/>
        <v>0.5927710843</v>
      </c>
      <c r="H8" s="61" t="s">
        <v>295</v>
      </c>
    </row>
    <row r="9">
      <c r="A9" s="47">
        <v>7.0</v>
      </c>
      <c r="B9" s="13" t="s">
        <v>201</v>
      </c>
      <c r="C9" s="13" t="s">
        <v>202</v>
      </c>
      <c r="D9" s="47" t="s">
        <v>198</v>
      </c>
      <c r="E9" s="15">
        <v>3120.0</v>
      </c>
      <c r="F9" s="49">
        <f t="shared" si="1"/>
        <v>0.04556407448</v>
      </c>
      <c r="G9" s="49">
        <f t="shared" si="2"/>
        <v>0.6383351588</v>
      </c>
      <c r="H9" s="61" t="s">
        <v>295</v>
      </c>
    </row>
    <row r="10">
      <c r="A10" s="50">
        <v>8.0</v>
      </c>
      <c r="B10" s="19" t="s">
        <v>199</v>
      </c>
      <c r="C10" s="19" t="s">
        <v>200</v>
      </c>
      <c r="D10" s="50" t="s">
        <v>198</v>
      </c>
      <c r="E10" s="21">
        <v>2940.0</v>
      </c>
      <c r="F10" s="52">
        <f t="shared" si="1"/>
        <v>0.04293537788</v>
      </c>
      <c r="G10" s="52">
        <f t="shared" si="2"/>
        <v>0.6812705367</v>
      </c>
      <c r="H10" s="61" t="s">
        <v>295</v>
      </c>
    </row>
    <row r="11">
      <c r="A11" s="47">
        <v>9.0</v>
      </c>
      <c r="B11" s="13" t="s">
        <v>226</v>
      </c>
      <c r="C11" s="13" t="s">
        <v>227</v>
      </c>
      <c r="D11" s="47" t="s">
        <v>223</v>
      </c>
      <c r="E11" s="15">
        <v>2800.0</v>
      </c>
      <c r="F11" s="49">
        <f t="shared" si="1"/>
        <v>0.04089083607</v>
      </c>
      <c r="G11" s="49">
        <f t="shared" si="2"/>
        <v>0.7221613728</v>
      </c>
      <c r="H11" s="61" t="s">
        <v>295</v>
      </c>
    </row>
    <row r="12">
      <c r="A12" s="50">
        <v>10.0</v>
      </c>
      <c r="B12" s="19" t="s">
        <v>224</v>
      </c>
      <c r="C12" s="19" t="s">
        <v>225</v>
      </c>
      <c r="D12" s="50" t="s">
        <v>223</v>
      </c>
      <c r="E12" s="21">
        <v>2700.0</v>
      </c>
      <c r="F12" s="52">
        <f t="shared" si="1"/>
        <v>0.03943044907</v>
      </c>
      <c r="G12" s="52">
        <f t="shared" si="2"/>
        <v>0.7615918218</v>
      </c>
      <c r="H12" s="61" t="s">
        <v>295</v>
      </c>
    </row>
    <row r="13">
      <c r="A13" s="47">
        <v>11.0</v>
      </c>
      <c r="B13" s="13" t="s">
        <v>212</v>
      </c>
      <c r="C13" s="13" t="s">
        <v>213</v>
      </c>
      <c r="D13" s="47" t="s">
        <v>205</v>
      </c>
      <c r="E13" s="15">
        <v>2625.0</v>
      </c>
      <c r="F13" s="49">
        <f t="shared" si="1"/>
        <v>0.03833515882</v>
      </c>
      <c r="G13" s="49">
        <f t="shared" si="2"/>
        <v>0.7999269806</v>
      </c>
      <c r="H13" s="61" t="s">
        <v>295</v>
      </c>
    </row>
    <row r="14">
      <c r="A14" s="50">
        <v>12.0</v>
      </c>
      <c r="B14" s="19" t="s">
        <v>206</v>
      </c>
      <c r="C14" s="19" t="s">
        <v>207</v>
      </c>
      <c r="D14" s="50" t="s">
        <v>205</v>
      </c>
      <c r="E14" s="21">
        <v>2160.0</v>
      </c>
      <c r="F14" s="52">
        <f t="shared" si="1"/>
        <v>0.03154435926</v>
      </c>
      <c r="G14" s="52">
        <f t="shared" si="2"/>
        <v>0.8314713399</v>
      </c>
      <c r="H14" s="62" t="s">
        <v>296</v>
      </c>
    </row>
    <row r="15">
      <c r="A15" s="47">
        <v>13.0</v>
      </c>
      <c r="B15" s="13" t="s">
        <v>214</v>
      </c>
      <c r="C15" s="13" t="s">
        <v>215</v>
      </c>
      <c r="D15" s="47" t="s">
        <v>216</v>
      </c>
      <c r="E15" s="15">
        <v>1980.0</v>
      </c>
      <c r="F15" s="49">
        <f t="shared" si="1"/>
        <v>0.02891566265</v>
      </c>
      <c r="G15" s="49">
        <f t="shared" si="2"/>
        <v>0.8603870026</v>
      </c>
      <c r="H15" s="62" t="s">
        <v>296</v>
      </c>
    </row>
    <row r="16">
      <c r="A16" s="50">
        <v>14.0</v>
      </c>
      <c r="B16" s="19" t="s">
        <v>210</v>
      </c>
      <c r="C16" s="19" t="s">
        <v>211</v>
      </c>
      <c r="D16" s="50" t="s">
        <v>205</v>
      </c>
      <c r="E16" s="21">
        <v>1920.0</v>
      </c>
      <c r="F16" s="52">
        <f t="shared" si="1"/>
        <v>0.02803943045</v>
      </c>
      <c r="G16" s="52">
        <f t="shared" si="2"/>
        <v>0.888426433</v>
      </c>
      <c r="H16" s="62" t="s">
        <v>296</v>
      </c>
    </row>
    <row r="17">
      <c r="A17" s="47">
        <v>15.0</v>
      </c>
      <c r="B17" s="13" t="s">
        <v>219</v>
      </c>
      <c r="C17" s="13" t="s">
        <v>220</v>
      </c>
      <c r="D17" s="47" t="s">
        <v>216</v>
      </c>
      <c r="E17" s="15">
        <v>1600.0</v>
      </c>
      <c r="F17" s="49">
        <f t="shared" si="1"/>
        <v>0.02336619204</v>
      </c>
      <c r="G17" s="49">
        <f t="shared" si="2"/>
        <v>0.911792625</v>
      </c>
      <c r="H17" s="62" t="s">
        <v>296</v>
      </c>
    </row>
    <row r="18">
      <c r="A18" s="50">
        <v>16.0</v>
      </c>
      <c r="B18" s="19" t="s">
        <v>234</v>
      </c>
      <c r="C18" s="19" t="s">
        <v>235</v>
      </c>
      <c r="D18" s="50" t="s">
        <v>198</v>
      </c>
      <c r="E18" s="21">
        <v>1470.0</v>
      </c>
      <c r="F18" s="52">
        <f t="shared" si="1"/>
        <v>0.02146768894</v>
      </c>
      <c r="G18" s="52">
        <f t="shared" si="2"/>
        <v>0.933260314</v>
      </c>
      <c r="H18" s="62" t="s">
        <v>296</v>
      </c>
    </row>
    <row r="19">
      <c r="A19" s="47">
        <v>17.0</v>
      </c>
      <c r="B19" s="13" t="s">
        <v>208</v>
      </c>
      <c r="C19" s="13" t="s">
        <v>209</v>
      </c>
      <c r="D19" s="47" t="s">
        <v>205</v>
      </c>
      <c r="E19" s="15">
        <v>1200.0</v>
      </c>
      <c r="F19" s="49">
        <f t="shared" si="1"/>
        <v>0.01752464403</v>
      </c>
      <c r="G19" s="49">
        <f t="shared" si="2"/>
        <v>0.950784958</v>
      </c>
      <c r="H19" s="63" t="s">
        <v>297</v>
      </c>
    </row>
    <row r="20">
      <c r="A20" s="50">
        <v>18.0</v>
      </c>
      <c r="B20" s="19" t="s">
        <v>228</v>
      </c>
      <c r="C20" s="19" t="s">
        <v>229</v>
      </c>
      <c r="D20" s="50" t="s">
        <v>223</v>
      </c>
      <c r="E20" s="21">
        <v>1200.0</v>
      </c>
      <c r="F20" s="52">
        <f t="shared" si="1"/>
        <v>0.01752464403</v>
      </c>
      <c r="G20" s="52">
        <f t="shared" si="2"/>
        <v>0.968309602</v>
      </c>
      <c r="H20" s="63" t="s">
        <v>297</v>
      </c>
    </row>
    <row r="21" ht="15.75" customHeight="1">
      <c r="A21" s="47">
        <v>19.0</v>
      </c>
      <c r="B21" s="13" t="s">
        <v>230</v>
      </c>
      <c r="C21" s="13" t="s">
        <v>231</v>
      </c>
      <c r="D21" s="47" t="s">
        <v>216</v>
      </c>
      <c r="E21" s="15">
        <v>1120.0</v>
      </c>
      <c r="F21" s="49">
        <f t="shared" si="1"/>
        <v>0.01635633443</v>
      </c>
      <c r="G21" s="49">
        <f t="shared" si="2"/>
        <v>0.9846659365</v>
      </c>
      <c r="H21" s="63" t="s">
        <v>297</v>
      </c>
    </row>
    <row r="22" ht="15.75" customHeight="1">
      <c r="A22" s="50">
        <v>20.0</v>
      </c>
      <c r="B22" s="19" t="s">
        <v>232</v>
      </c>
      <c r="C22" s="19" t="s">
        <v>233</v>
      </c>
      <c r="D22" s="50" t="s">
        <v>198</v>
      </c>
      <c r="E22" s="21">
        <v>1050.0</v>
      </c>
      <c r="F22" s="52">
        <f t="shared" si="1"/>
        <v>0.01533406353</v>
      </c>
      <c r="G22" s="52">
        <f t="shared" si="2"/>
        <v>1</v>
      </c>
      <c r="H22" s="63" t="s">
        <v>297</v>
      </c>
    </row>
    <row r="23" ht="15.75" customHeight="1">
      <c r="A23" s="25" t="s">
        <v>236</v>
      </c>
      <c r="B23" s="28"/>
      <c r="C23" s="28"/>
      <c r="D23" s="28"/>
      <c r="E23" s="30">
        <f>SUM(E3:E22)</f>
        <v>68475</v>
      </c>
      <c r="F23" s="28"/>
      <c r="G23" s="28"/>
    </row>
    <row r="24" ht="15.75" customHeight="1"/>
    <row r="25" ht="15.75" customHeight="1">
      <c r="A25" s="64" t="s">
        <v>298</v>
      </c>
      <c r="B25" s="33"/>
      <c r="C25" s="33"/>
      <c r="D25" s="33"/>
      <c r="E25" s="33"/>
      <c r="F25" s="33"/>
      <c r="G25" s="33"/>
      <c r="H25" s="34"/>
    </row>
    <row r="26" ht="15.75" customHeight="1">
      <c r="A26" s="40" t="s">
        <v>299</v>
      </c>
      <c r="B26" s="40" t="s">
        <v>300</v>
      </c>
      <c r="C26" s="40" t="s">
        <v>301</v>
      </c>
      <c r="D26" s="40" t="s">
        <v>292</v>
      </c>
      <c r="E26" s="40" t="s">
        <v>302</v>
      </c>
      <c r="F26" s="40" t="s">
        <v>303</v>
      </c>
      <c r="G26" s="40" t="s">
        <v>304</v>
      </c>
      <c r="H26" s="40" t="s">
        <v>305</v>
      </c>
    </row>
    <row r="27" ht="15.75" customHeight="1">
      <c r="A27" s="61" t="s">
        <v>295</v>
      </c>
      <c r="B27" s="65" t="s">
        <v>306</v>
      </c>
      <c r="C27" s="66">
        <f>SUMIF(H3:H22,"A",E3:E22)</f>
        <v>54775</v>
      </c>
      <c r="D27" s="67">
        <f>C27/E23</f>
        <v>0.7999269806</v>
      </c>
      <c r="E27" s="68" t="s">
        <v>307</v>
      </c>
      <c r="F27" s="68" t="s">
        <v>308</v>
      </c>
      <c r="G27" s="65" t="s">
        <v>309</v>
      </c>
      <c r="H27" s="65" t="s">
        <v>310</v>
      </c>
    </row>
    <row r="28" ht="15.75" customHeight="1">
      <c r="A28" s="62" t="s">
        <v>296</v>
      </c>
      <c r="B28" s="69" t="s">
        <v>311</v>
      </c>
      <c r="C28" s="70">
        <f>SUMIF(H3:H22,"B",E3:E22)</f>
        <v>9130</v>
      </c>
      <c r="D28" s="71">
        <f>C28/E23</f>
        <v>0.1333333333</v>
      </c>
      <c r="E28" s="72" t="s">
        <v>312</v>
      </c>
      <c r="F28" s="72" t="s">
        <v>313</v>
      </c>
      <c r="G28" s="69" t="s">
        <v>314</v>
      </c>
      <c r="H28" s="69" t="s">
        <v>315</v>
      </c>
    </row>
    <row r="29" ht="15.75" customHeight="1">
      <c r="A29" s="63" t="s">
        <v>297</v>
      </c>
      <c r="B29" s="73" t="s">
        <v>316</v>
      </c>
      <c r="C29" s="74">
        <f>SUMIF(H3:H22,"C",E3:E22)</f>
        <v>4570</v>
      </c>
      <c r="D29" s="75">
        <f>C29/E23</f>
        <v>0.06673968602</v>
      </c>
      <c r="E29" s="76" t="s">
        <v>317</v>
      </c>
      <c r="F29" s="76" t="s">
        <v>318</v>
      </c>
      <c r="G29" s="73" t="s">
        <v>319</v>
      </c>
      <c r="H29" s="73" t="s">
        <v>315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5:H2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4.0"/>
    <col customWidth="1" min="3" max="3" width="8.0"/>
    <col customWidth="1" min="4" max="5" width="10.0"/>
    <col customWidth="1" min="6" max="6" width="9.0"/>
    <col customWidth="1" min="7" max="7" width="13.0"/>
    <col customWidth="1" min="8" max="8" width="12.0"/>
    <col customWidth="1" min="9" max="9" width="10.0"/>
    <col customWidth="1" min="10" max="10" width="12.0"/>
    <col customWidth="1" min="11" max="11" width="11.0"/>
    <col customWidth="1" min="12" max="12" width="15.0"/>
    <col customWidth="1" min="13" max="13" width="25.0"/>
    <col customWidth="1" min="14" max="26" width="8.71"/>
  </cols>
  <sheetData>
    <row r="1" ht="30.0" customHeight="1">
      <c r="A1" s="1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9.5" customHeight="1">
      <c r="A2" s="77" t="s">
        <v>179</v>
      </c>
      <c r="B2" s="77" t="s">
        <v>180</v>
      </c>
      <c r="C2" s="77" t="s">
        <v>321</v>
      </c>
      <c r="D2" s="77" t="s">
        <v>322</v>
      </c>
      <c r="E2" s="77" t="s">
        <v>323</v>
      </c>
      <c r="F2" s="77" t="s">
        <v>324</v>
      </c>
      <c r="G2" s="77" t="s">
        <v>325</v>
      </c>
      <c r="H2" s="77" t="s">
        <v>326</v>
      </c>
      <c r="I2" s="77" t="s">
        <v>327</v>
      </c>
      <c r="J2" s="77" t="s">
        <v>328</v>
      </c>
      <c r="K2" s="77" t="s">
        <v>329</v>
      </c>
      <c r="L2" s="77" t="s">
        <v>330</v>
      </c>
      <c r="M2" s="77" t="s">
        <v>331</v>
      </c>
    </row>
    <row r="3">
      <c r="A3" s="13" t="s">
        <v>191</v>
      </c>
      <c r="B3" s="13" t="s">
        <v>192</v>
      </c>
      <c r="C3" s="61" t="s">
        <v>295</v>
      </c>
      <c r="D3" s="78">
        <v>800.0</v>
      </c>
      <c r="E3" s="15" t="str">
        <f>D3/SUPUESTOS!$B$5</f>
        <v>#DIV/0!</v>
      </c>
      <c r="F3" s="79">
        <v>18.0</v>
      </c>
      <c r="G3" s="15" t="str">
        <f>F3*SUPUESTOS!$B$40*SUPUESTOS!$B$4</f>
        <v>#VALUE!</v>
      </c>
      <c r="H3" s="16" t="str">
        <f>SUPUESTOS!$B$44*G3</f>
        <v>#VALUE!</v>
      </c>
      <c r="I3" s="15" t="str">
        <f>SUPUESTOS!$B$42</f>
        <v/>
      </c>
      <c r="J3" s="80" t="str">
        <f t="shared" ref="J3:J7" si="1">ROUND(SQRT(2*E3*I3/H3),0)</f>
        <v>#DIV/0!</v>
      </c>
      <c r="K3" s="81" t="str">
        <f t="shared" ref="K3:K7" si="2">ROUND(D3/J3,1)</f>
        <v>#DIV/0!</v>
      </c>
      <c r="L3" s="15" t="str">
        <f>(E3/J3)*I3+(J3/2)*H3*SUPUESTOS!$B$5</f>
        <v>#DIV/0!</v>
      </c>
      <c r="M3" s="13" t="s">
        <v>332</v>
      </c>
    </row>
    <row r="4">
      <c r="A4" s="19" t="s">
        <v>196</v>
      </c>
      <c r="B4" s="19" t="s">
        <v>197</v>
      </c>
      <c r="C4" s="61" t="s">
        <v>295</v>
      </c>
      <c r="D4" s="82">
        <v>1000.0</v>
      </c>
      <c r="E4" s="21" t="str">
        <f>D4/SUPUESTOS!$B$5</f>
        <v>#DIV/0!</v>
      </c>
      <c r="F4" s="83">
        <v>4.5</v>
      </c>
      <c r="G4" s="21" t="str">
        <f>F4*SUPUESTOS!$B$40*SUPUESTOS!$B$4</f>
        <v>#VALUE!</v>
      </c>
      <c r="H4" s="22" t="str">
        <f>SUPUESTOS!$B$44*G4</f>
        <v>#VALUE!</v>
      </c>
      <c r="I4" s="21" t="str">
        <f>SUPUESTOS!$B$42</f>
        <v/>
      </c>
      <c r="J4" s="80" t="str">
        <f t="shared" si="1"/>
        <v>#DIV/0!</v>
      </c>
      <c r="K4" s="84" t="str">
        <f t="shared" si="2"/>
        <v>#DIV/0!</v>
      </c>
      <c r="L4" s="21" t="str">
        <f>(E4/J4)*I4+(J4/2)*H4*SUPUESTOS!$B$5</f>
        <v>#DIV/0!</v>
      </c>
      <c r="M4" s="19" t="s">
        <v>332</v>
      </c>
    </row>
    <row r="5">
      <c r="A5" s="13" t="s">
        <v>208</v>
      </c>
      <c r="B5" s="13" t="s">
        <v>209</v>
      </c>
      <c r="C5" s="63" t="s">
        <v>297</v>
      </c>
      <c r="D5" s="78">
        <v>1000.0</v>
      </c>
      <c r="E5" s="15" t="str">
        <f>D5/SUPUESTOS!$B$5</f>
        <v>#DIV/0!</v>
      </c>
      <c r="F5" s="79">
        <v>1.2</v>
      </c>
      <c r="G5" s="15" t="str">
        <f>F5*SUPUESTOS!$B$40*SUPUESTOS!$B$4</f>
        <v>#VALUE!</v>
      </c>
      <c r="H5" s="16" t="str">
        <f>SUPUESTOS!$B$44*G5</f>
        <v>#VALUE!</v>
      </c>
      <c r="I5" s="15" t="str">
        <f>SUPUESTOS!$B$42</f>
        <v/>
      </c>
      <c r="J5" s="80" t="str">
        <f t="shared" si="1"/>
        <v>#DIV/0!</v>
      </c>
      <c r="K5" s="81" t="str">
        <f t="shared" si="2"/>
        <v>#DIV/0!</v>
      </c>
      <c r="L5" s="15" t="str">
        <f>(E5/J5)*I5+(J5/2)*H5*SUPUESTOS!$B$5</f>
        <v>#DIV/0!</v>
      </c>
      <c r="M5" s="13" t="s">
        <v>333</v>
      </c>
    </row>
    <row r="6">
      <c r="A6" s="19" t="s">
        <v>214</v>
      </c>
      <c r="B6" s="19" t="s">
        <v>215</v>
      </c>
      <c r="C6" s="62" t="s">
        <v>296</v>
      </c>
      <c r="D6" s="82">
        <v>900.0</v>
      </c>
      <c r="E6" s="21" t="str">
        <f>D6/SUPUESTOS!$B$5</f>
        <v>#DIV/0!</v>
      </c>
      <c r="F6" s="83">
        <v>2.2</v>
      </c>
      <c r="G6" s="21" t="str">
        <f>F6*SUPUESTOS!$B$40*SUPUESTOS!$B$4</f>
        <v>#VALUE!</v>
      </c>
      <c r="H6" s="22" t="str">
        <f>SUPUESTOS!$B$44*G6</f>
        <v>#VALUE!</v>
      </c>
      <c r="I6" s="21" t="str">
        <f>SUPUESTOS!$B$42</f>
        <v/>
      </c>
      <c r="J6" s="80" t="str">
        <f t="shared" si="1"/>
        <v>#DIV/0!</v>
      </c>
      <c r="K6" s="84" t="str">
        <f t="shared" si="2"/>
        <v>#DIV/0!</v>
      </c>
      <c r="L6" s="21" t="str">
        <f>(E6/J6)*I6+(J6/2)*H6*SUPUESTOS!$B$5</f>
        <v>#DIV/0!</v>
      </c>
      <c r="M6" s="19" t="s">
        <v>333</v>
      </c>
    </row>
    <row r="7">
      <c r="A7" s="13" t="s">
        <v>221</v>
      </c>
      <c r="B7" s="13" t="s">
        <v>222</v>
      </c>
      <c r="C7" s="61" t="s">
        <v>295</v>
      </c>
      <c r="D7" s="78">
        <v>1000.0</v>
      </c>
      <c r="E7" s="15" t="str">
        <f>D7/SUPUESTOS!$B$5</f>
        <v>#DIV/0!</v>
      </c>
      <c r="F7" s="79">
        <v>3.8</v>
      </c>
      <c r="G7" s="15" t="str">
        <f>F7*SUPUESTOS!$B$40*SUPUESTOS!$B$4</f>
        <v>#VALUE!</v>
      </c>
      <c r="H7" s="16" t="str">
        <f>SUPUESTOS!$B$44*G7</f>
        <v>#VALUE!</v>
      </c>
      <c r="I7" s="15" t="str">
        <f>SUPUESTOS!$B$42</f>
        <v/>
      </c>
      <c r="J7" s="80" t="str">
        <f t="shared" si="1"/>
        <v>#DIV/0!</v>
      </c>
      <c r="K7" s="81" t="str">
        <f t="shared" si="2"/>
        <v>#DIV/0!</v>
      </c>
      <c r="L7" s="15" t="str">
        <f>(E7/J7)*I7+(J7/2)*H7*SUPUESTOS!$B$5</f>
        <v>#DIV/0!</v>
      </c>
      <c r="M7" s="13" t="s">
        <v>332</v>
      </c>
    </row>
    <row r="10">
      <c r="A10" s="31" t="s">
        <v>334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>
      <c r="A11" s="31" t="s">
        <v>335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10:M10"/>
    <mergeCell ref="A11:M1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4.0"/>
    <col customWidth="1" min="3" max="3" width="8.0"/>
    <col customWidth="1" min="4" max="5" width="11.0"/>
    <col customWidth="1" min="6" max="7" width="8.0"/>
    <col customWidth="1" min="8" max="9" width="12.0"/>
    <col customWidth="1" min="10" max="10" width="10.0"/>
    <col customWidth="1" min="11" max="11" width="13.0"/>
    <col customWidth="1" min="12" max="12" width="11.0"/>
    <col customWidth="1" min="13" max="26" width="8.71"/>
  </cols>
  <sheetData>
    <row r="1" ht="30.0" customHeight="1">
      <c r="A1" s="1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5.0" customHeight="1">
      <c r="A2" s="77" t="s">
        <v>179</v>
      </c>
      <c r="B2" s="77" t="s">
        <v>180</v>
      </c>
      <c r="C2" s="77" t="s">
        <v>299</v>
      </c>
      <c r="D2" s="77" t="s">
        <v>337</v>
      </c>
      <c r="E2" s="77" t="s">
        <v>338</v>
      </c>
      <c r="F2" s="77" t="s">
        <v>339</v>
      </c>
      <c r="G2" s="77" t="s">
        <v>340</v>
      </c>
      <c r="H2" s="77" t="s">
        <v>341</v>
      </c>
      <c r="I2" s="77" t="s">
        <v>342</v>
      </c>
      <c r="J2" s="77" t="s">
        <v>343</v>
      </c>
      <c r="K2" s="77" t="s">
        <v>344</v>
      </c>
      <c r="L2" s="77" t="s">
        <v>345</v>
      </c>
    </row>
    <row r="3">
      <c r="A3" s="13" t="s">
        <v>191</v>
      </c>
      <c r="B3" s="13" t="s">
        <v>192</v>
      </c>
      <c r="C3" s="61" t="s">
        <v>295</v>
      </c>
      <c r="D3" s="38" t="str">
        <f>800/SUPUESTOS!$B$7</f>
        <v>#VALUE!</v>
      </c>
      <c r="E3" s="38" t="str">
        <f t="shared" ref="E3:E4" si="1">0.2*D3</f>
        <v>#VALUE!</v>
      </c>
      <c r="F3" s="79">
        <v>1.65</v>
      </c>
      <c r="G3" s="47" t="str">
        <f>SUPUESTOS!$B$46</f>
        <v>LT_IMP</v>
      </c>
      <c r="H3" s="80" t="str">
        <f t="shared" ref="H3:H7" si="2">ROUND(F3*E3*SQRT(G3),0)</f>
        <v>#VALUE!</v>
      </c>
      <c r="I3" s="80" t="str">
        <f t="shared" ref="I3:I7" si="3">ROUND(D3*G3+H3,0)</f>
        <v>#VALUE!</v>
      </c>
      <c r="J3" s="85">
        <v>80.0</v>
      </c>
      <c r="K3" s="14" t="str">
        <f t="shared" ref="K3:K7" si="4">ROUND(J3/2+H3,0)</f>
        <v>#VALUE!</v>
      </c>
      <c r="L3" s="81" t="str">
        <f t="shared" ref="L3:L7" si="5">ROUND(K3/D3,1)</f>
        <v>#VALUE!</v>
      </c>
    </row>
    <row r="4">
      <c r="A4" s="19" t="s">
        <v>196</v>
      </c>
      <c r="B4" s="19" t="s">
        <v>197</v>
      </c>
      <c r="C4" s="61" t="s">
        <v>295</v>
      </c>
      <c r="D4" s="37" t="str">
        <f>1000/SUPUESTOS!$B$7</f>
        <v>#VALUE!</v>
      </c>
      <c r="E4" s="37" t="str">
        <f t="shared" si="1"/>
        <v>#VALUE!</v>
      </c>
      <c r="F4" s="83">
        <v>1.65</v>
      </c>
      <c r="G4" s="50" t="str">
        <f>SUPUESTOS!$B$46</f>
        <v>LT_IMP</v>
      </c>
      <c r="H4" s="80" t="str">
        <f t="shared" si="2"/>
        <v>#VALUE!</v>
      </c>
      <c r="I4" s="80" t="str">
        <f t="shared" si="3"/>
        <v>#VALUE!</v>
      </c>
      <c r="J4" s="86">
        <v>179.0</v>
      </c>
      <c r="K4" s="20" t="str">
        <f t="shared" si="4"/>
        <v>#VALUE!</v>
      </c>
      <c r="L4" s="84" t="str">
        <f t="shared" si="5"/>
        <v>#VALUE!</v>
      </c>
    </row>
    <row r="5">
      <c r="A5" s="13" t="s">
        <v>208</v>
      </c>
      <c r="B5" s="13" t="s">
        <v>209</v>
      </c>
      <c r="C5" s="63" t="s">
        <v>297</v>
      </c>
      <c r="D5" s="38" t="str">
        <f>1000/SUPUESTOS!$B$7</f>
        <v>#VALUE!</v>
      </c>
      <c r="E5" s="38" t="str">
        <f>0.1*D5</f>
        <v>#VALUE!</v>
      </c>
      <c r="F5" s="79">
        <v>1.04</v>
      </c>
      <c r="G5" s="47" t="str">
        <f>SUPUESTOS!$B$46</f>
        <v>LT_IMP</v>
      </c>
      <c r="H5" s="80" t="str">
        <f t="shared" si="2"/>
        <v>#VALUE!</v>
      </c>
      <c r="I5" s="80" t="str">
        <f t="shared" si="3"/>
        <v>#VALUE!</v>
      </c>
      <c r="J5" s="85">
        <v>347.0</v>
      </c>
      <c r="K5" s="14" t="str">
        <f t="shared" si="4"/>
        <v>#VALUE!</v>
      </c>
      <c r="L5" s="81" t="str">
        <f t="shared" si="5"/>
        <v>#VALUE!</v>
      </c>
    </row>
    <row r="6">
      <c r="A6" s="19" t="s">
        <v>214</v>
      </c>
      <c r="B6" s="19" t="s">
        <v>215</v>
      </c>
      <c r="C6" s="62" t="s">
        <v>296</v>
      </c>
      <c r="D6" s="37" t="str">
        <f>900/SUPUESTOS!$B$7</f>
        <v>#VALUE!</v>
      </c>
      <c r="E6" s="37" t="str">
        <f>0.15*D6</f>
        <v>#VALUE!</v>
      </c>
      <c r="F6" s="83">
        <v>1.28</v>
      </c>
      <c r="G6" s="50" t="str">
        <f>SUPUESTOS!$B$46</f>
        <v>LT_IMP</v>
      </c>
      <c r="H6" s="80" t="str">
        <f t="shared" si="2"/>
        <v>#VALUE!</v>
      </c>
      <c r="I6" s="80" t="str">
        <f t="shared" si="3"/>
        <v>#VALUE!</v>
      </c>
      <c r="J6" s="86">
        <v>243.0</v>
      </c>
      <c r="K6" s="20" t="str">
        <f t="shared" si="4"/>
        <v>#VALUE!</v>
      </c>
      <c r="L6" s="84" t="str">
        <f t="shared" si="5"/>
        <v>#VALUE!</v>
      </c>
    </row>
    <row r="7">
      <c r="A7" s="13" t="s">
        <v>221</v>
      </c>
      <c r="B7" s="13" t="s">
        <v>222</v>
      </c>
      <c r="C7" s="61" t="s">
        <v>295</v>
      </c>
      <c r="D7" s="38" t="str">
        <f>1000/SUPUESTOS!$B$7</f>
        <v>#VALUE!</v>
      </c>
      <c r="E7" s="38" t="str">
        <f>0.2*D7</f>
        <v>#VALUE!</v>
      </c>
      <c r="F7" s="79">
        <v>1.65</v>
      </c>
      <c r="G7" s="47" t="str">
        <f>SUPUESTOS!$B$46</f>
        <v>LT_IMP</v>
      </c>
      <c r="H7" s="80" t="str">
        <f t="shared" si="2"/>
        <v>#VALUE!</v>
      </c>
      <c r="I7" s="80" t="str">
        <f t="shared" si="3"/>
        <v>#VALUE!</v>
      </c>
      <c r="J7" s="85">
        <v>195.0</v>
      </c>
      <c r="K7" s="14" t="str">
        <f t="shared" si="4"/>
        <v>#VALUE!</v>
      </c>
      <c r="L7" s="81" t="str">
        <f t="shared" si="5"/>
        <v>#VALUE!</v>
      </c>
    </row>
    <row r="10">
      <c r="A10" s="31" t="s">
        <v>346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0:L1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12.0"/>
    <col customWidth="1" min="4" max="4" width="14.0"/>
    <col customWidth="1" min="5" max="5" width="15.0"/>
    <col customWidth="1" min="6" max="6" width="12.0"/>
    <col customWidth="1" min="7" max="7" width="14.0"/>
    <col customWidth="1" min="8" max="8" width="15.0"/>
    <col customWidth="1" min="9" max="26" width="8.71"/>
  </cols>
  <sheetData>
    <row r="1" ht="30.0" customHeight="1">
      <c r="A1" s="11" t="s">
        <v>347</v>
      </c>
      <c r="B1" s="2"/>
      <c r="C1" s="2"/>
      <c r="D1" s="2"/>
      <c r="E1" s="2"/>
      <c r="F1" s="2"/>
      <c r="G1" s="2"/>
      <c r="H1" s="3"/>
    </row>
    <row r="2" ht="49.5" customHeight="1">
      <c r="A2" s="12" t="s">
        <v>348</v>
      </c>
      <c r="B2" s="12" t="s">
        <v>349</v>
      </c>
      <c r="C2" s="12" t="s">
        <v>350</v>
      </c>
      <c r="D2" s="12" t="s">
        <v>351</v>
      </c>
      <c r="E2" s="12" t="s">
        <v>352</v>
      </c>
      <c r="F2" s="12" t="s">
        <v>353</v>
      </c>
      <c r="G2" s="12" t="s">
        <v>354</v>
      </c>
      <c r="H2" s="12" t="s">
        <v>355</v>
      </c>
    </row>
    <row r="3">
      <c r="A3" s="13" t="s">
        <v>356</v>
      </c>
      <c r="B3" s="47" t="s">
        <v>140</v>
      </c>
      <c r="C3" s="15" t="str">
        <f>SUPUESTOS!$B$57</f>
        <v>CST_SCZ</v>
      </c>
      <c r="D3" s="15" t="str">
        <f>SUPUESTOS!$B$53</f>
        <v>VAR_C</v>
      </c>
      <c r="E3" s="15" t="str">
        <f t="shared" ref="E3:E5" si="1">C3*D3</f>
        <v>#VALUE!</v>
      </c>
      <c r="F3" s="15">
        <f>T2_DEMANDA!D24</f>
        <v>4199</v>
      </c>
      <c r="G3" s="15" t="str">
        <f>F3*SUPUESTOS!$B$60</f>
        <v>#VALUE!</v>
      </c>
      <c r="H3" s="15" t="str">
        <f t="shared" ref="H3:H5" si="2">E3+G3</f>
        <v>#VALUE!</v>
      </c>
    </row>
    <row r="4">
      <c r="A4" s="19" t="s">
        <v>357</v>
      </c>
      <c r="B4" s="50" t="s">
        <v>143</v>
      </c>
      <c r="C4" s="21" t="str">
        <f>SUPUESTOS!$B$58</f>
        <v>DSP_CBB</v>
      </c>
      <c r="D4" s="21" t="str">
        <f>SUPUESTOS!$B$54</f>
        <v/>
      </c>
      <c r="E4" s="21" t="str">
        <f t="shared" si="1"/>
        <v>#VALUE!</v>
      </c>
      <c r="F4" s="21">
        <f>T2_DEMANDA!E24</f>
        <v>3732</v>
      </c>
      <c r="G4" s="21" t="str">
        <f>F4*SUPUESTOS!$B$60</f>
        <v>#VALUE!</v>
      </c>
      <c r="H4" s="21" t="str">
        <f t="shared" si="2"/>
        <v>#VALUE!</v>
      </c>
    </row>
    <row r="5">
      <c r="A5" s="13" t="s">
        <v>358</v>
      </c>
      <c r="B5" s="47" t="s">
        <v>143</v>
      </c>
      <c r="C5" s="15" t="str">
        <f>SUPUESTOS!$B$59</f>
        <v>DSP_LPZ</v>
      </c>
      <c r="D5" s="15" t="str">
        <f>SUPUESTOS!$B$55</f>
        <v>CST_CBB</v>
      </c>
      <c r="E5" s="15" t="str">
        <f t="shared" si="1"/>
        <v>#VALUE!</v>
      </c>
      <c r="F5" s="15">
        <f>T2_DEMANDA!F24</f>
        <v>4820</v>
      </c>
      <c r="G5" s="15" t="str">
        <f>F5*SUPUESTOS!$B$60</f>
        <v>#VALUE!</v>
      </c>
      <c r="H5" s="15" t="str">
        <f t="shared" si="2"/>
        <v>#VALUE!</v>
      </c>
    </row>
    <row r="6">
      <c r="A6" s="25" t="s">
        <v>359</v>
      </c>
      <c r="B6" s="26"/>
      <c r="C6" s="26"/>
      <c r="D6" s="26"/>
      <c r="E6" s="30" t="str">
        <f t="shared" ref="E6:H6" si="3">SUM(E3:E5)</f>
        <v>#VALUE!</v>
      </c>
      <c r="F6" s="30">
        <f t="shared" si="3"/>
        <v>12751</v>
      </c>
      <c r="G6" s="30" t="str">
        <f t="shared" si="3"/>
        <v>#VALUE!</v>
      </c>
      <c r="H6" s="30" t="str">
        <f t="shared" si="3"/>
        <v>#VALUE!</v>
      </c>
    </row>
    <row r="9">
      <c r="A9" s="39" t="s">
        <v>360</v>
      </c>
      <c r="B9" s="2"/>
      <c r="C9" s="2"/>
      <c r="D9" s="2"/>
      <c r="E9" s="2"/>
      <c r="F9" s="2"/>
      <c r="G9" s="2"/>
      <c r="H9" s="3"/>
    </row>
    <row r="10">
      <c r="A10" s="19" t="s">
        <v>361</v>
      </c>
      <c r="B10" s="87" t="str">
        <f>SUPUESTOS!B68</f>
        <v>AREA</v>
      </c>
    </row>
    <row r="11">
      <c r="A11" s="19" t="s">
        <v>362</v>
      </c>
      <c r="B11" s="87" t="str">
        <f>H6</f>
        <v>#VALUE!</v>
      </c>
    </row>
    <row r="12">
      <c r="A12" s="19" t="s">
        <v>363</v>
      </c>
      <c r="B12" s="87" t="str">
        <f>B10+B11</f>
        <v>#VALUE!</v>
      </c>
    </row>
    <row r="13">
      <c r="A13" s="19" t="s">
        <v>364</v>
      </c>
      <c r="B13" s="87" t="str">
        <f>B12/F6</f>
        <v>#VALUE!</v>
      </c>
    </row>
    <row r="14">
      <c r="A14" s="19" t="s">
        <v>365</v>
      </c>
      <c r="B14" s="87" t="str">
        <f>B11/T3_COSTOS_IMP!E3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9:H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9.0"/>
    <col customWidth="1" min="3" max="3" width="10.0"/>
    <col customWidth="1" min="4" max="4" width="11.0"/>
    <col customWidth="1" min="5" max="6" width="10.0"/>
    <col customWidth="1" min="7" max="7" width="12.0"/>
    <col customWidth="1" min="8" max="8" width="10.0"/>
    <col customWidth="1" min="9" max="9" width="11.0"/>
    <col customWidth="1" min="10" max="10" width="9.0"/>
    <col customWidth="1" min="11" max="12" width="12.0"/>
    <col customWidth="1" min="13" max="13" width="13.0"/>
    <col customWidth="1" min="14" max="26" width="8.71"/>
  </cols>
  <sheetData>
    <row r="1" ht="30.0" customHeight="1">
      <c r="A1" s="11" t="s">
        <v>366</v>
      </c>
      <c r="B1" s="2"/>
      <c r="C1" s="2"/>
      <c r="D1" s="2"/>
      <c r="E1" s="2"/>
      <c r="F1" s="2"/>
      <c r="G1" s="2"/>
      <c r="H1" s="2"/>
      <c r="I1" s="2"/>
      <c r="J1" s="3"/>
    </row>
    <row r="2" ht="49.5" customHeight="1">
      <c r="A2" s="77" t="s">
        <v>253</v>
      </c>
      <c r="B2" s="77" t="s">
        <v>367</v>
      </c>
      <c r="C2" s="77" t="s">
        <v>368</v>
      </c>
      <c r="D2" s="77" t="s">
        <v>369</v>
      </c>
      <c r="E2" s="77" t="s">
        <v>184</v>
      </c>
      <c r="F2" s="77" t="s">
        <v>370</v>
      </c>
      <c r="G2" s="77" t="s">
        <v>371</v>
      </c>
      <c r="H2" s="77" t="s">
        <v>372</v>
      </c>
      <c r="I2" s="77" t="s">
        <v>373</v>
      </c>
      <c r="J2" s="77" t="s">
        <v>374</v>
      </c>
      <c r="K2" s="77" t="s">
        <v>375</v>
      </c>
      <c r="L2" s="77" t="s">
        <v>376</v>
      </c>
      <c r="M2" s="77" t="s">
        <v>377</v>
      </c>
    </row>
    <row r="3">
      <c r="A3" s="13" t="s">
        <v>244</v>
      </c>
      <c r="B3" s="88">
        <v>0.24</v>
      </c>
      <c r="C3" s="14">
        <f>T2_DEMANDA!G24-SUM(C4:C8)</f>
        <v>671</v>
      </c>
      <c r="D3" s="38">
        <f>T1_PRODUCTOS!I23/T1_PRODUCTOS!D23</f>
        <v>0.6081672026</v>
      </c>
      <c r="E3" s="89">
        <f>T1_PRODUCTOS!H23/T1_PRODUCTOS!D23</f>
        <v>0.003455948553</v>
      </c>
      <c r="F3" s="38">
        <f>E3*(1+SUPUESTOS!$B$11)*SUPUESTOS!$B$62</f>
        <v>0</v>
      </c>
      <c r="G3" s="90" t="str">
        <f>MAX(D3*(1+SUPUESTOS!$B$14),F3)</f>
        <v>#VALUE!</v>
      </c>
      <c r="H3" s="78">
        <v>16.0</v>
      </c>
      <c r="I3" s="15" t="str">
        <f t="shared" ref="I3:I8" si="2">G3*H3</f>
        <v>#VALUE!</v>
      </c>
      <c r="J3" s="10">
        <v>25.0</v>
      </c>
      <c r="K3" s="91" t="str">
        <f t="shared" ref="K3:K8" si="3">MAX(I3,J3)</f>
        <v>#VALUE!</v>
      </c>
      <c r="L3" s="15" t="str">
        <f>SUPUESTOS!$B$63</f>
        <v>FPV</v>
      </c>
      <c r="M3" s="91" t="str">
        <f t="shared" ref="M3:M8" si="4">C3*(K3+L3)</f>
        <v>#VALUE!</v>
      </c>
    </row>
    <row r="4">
      <c r="A4" s="19" t="s">
        <v>245</v>
      </c>
      <c r="B4" s="92">
        <v>0.23</v>
      </c>
      <c r="C4" s="20">
        <f>ROUND(T2_DEMANDA!$G$24*B4,0)</f>
        <v>644</v>
      </c>
      <c r="D4" s="37">
        <f t="shared" ref="D4:E4" si="1">D3</f>
        <v>0.6081672026</v>
      </c>
      <c r="E4" s="93">
        <f t="shared" si="1"/>
        <v>0.003455948553</v>
      </c>
      <c r="F4" s="37">
        <f>E4*(1+SUPUESTOS!$B$11)*SUPUESTOS!$B$62</f>
        <v>0</v>
      </c>
      <c r="G4" s="90" t="str">
        <f>MAX(D4*(1+SUPUESTOS!$B$14),F4)</f>
        <v>#VALUE!</v>
      </c>
      <c r="H4" s="82">
        <v>15.0</v>
      </c>
      <c r="I4" s="21" t="str">
        <f t="shared" si="2"/>
        <v>#VALUE!</v>
      </c>
      <c r="J4" s="8">
        <v>25.0</v>
      </c>
      <c r="K4" s="91" t="str">
        <f t="shared" si="3"/>
        <v>#VALUE!</v>
      </c>
      <c r="L4" s="21" t="str">
        <f>SUPUESTOS!$B$63</f>
        <v>FPV</v>
      </c>
      <c r="M4" s="91" t="str">
        <f t="shared" si="4"/>
        <v>#VALUE!</v>
      </c>
    </row>
    <row r="5">
      <c r="A5" s="13" t="s">
        <v>246</v>
      </c>
      <c r="B5" s="88">
        <v>0.18</v>
      </c>
      <c r="C5" s="14">
        <f>ROUND(T2_DEMANDA!$G$24*B5,0)</f>
        <v>504</v>
      </c>
      <c r="D5" s="38">
        <f t="shared" ref="D5:E5" si="5">D3</f>
        <v>0.6081672026</v>
      </c>
      <c r="E5" s="89">
        <f t="shared" si="5"/>
        <v>0.003455948553</v>
      </c>
      <c r="F5" s="38">
        <f>E5*(1+SUPUESTOS!$B$11)*SUPUESTOS!$B$62</f>
        <v>0</v>
      </c>
      <c r="G5" s="90" t="str">
        <f>MAX(D5*(1+SUPUESTOS!$B$14),F5)</f>
        <v>#VALUE!</v>
      </c>
      <c r="H5" s="78">
        <v>12.0</v>
      </c>
      <c r="I5" s="15" t="str">
        <f t="shared" si="2"/>
        <v>#VALUE!</v>
      </c>
      <c r="J5" s="10">
        <v>20.0</v>
      </c>
      <c r="K5" s="91" t="str">
        <f t="shared" si="3"/>
        <v>#VALUE!</v>
      </c>
      <c r="L5" s="15" t="str">
        <f>SUPUESTOS!$B$63</f>
        <v>FPV</v>
      </c>
      <c r="M5" s="91" t="str">
        <f t="shared" si="4"/>
        <v>#VALUE!</v>
      </c>
    </row>
    <row r="6">
      <c r="A6" s="19" t="s">
        <v>247</v>
      </c>
      <c r="B6" s="92">
        <v>0.15</v>
      </c>
      <c r="C6" s="20">
        <f>ROUND(T2_DEMANDA!$G$24*B6,0)</f>
        <v>420</v>
      </c>
      <c r="D6" s="37">
        <f t="shared" ref="D6:E6" si="6">D3</f>
        <v>0.6081672026</v>
      </c>
      <c r="E6" s="93">
        <f t="shared" si="6"/>
        <v>0.003455948553</v>
      </c>
      <c r="F6" s="37">
        <f>E6*(1+SUPUESTOS!$B$11)*SUPUESTOS!$B$62</f>
        <v>0</v>
      </c>
      <c r="G6" s="90" t="str">
        <f>MAX(D6*(1+SUPUESTOS!$B$14),F6)</f>
        <v>#VALUE!</v>
      </c>
      <c r="H6" s="82">
        <v>15.0</v>
      </c>
      <c r="I6" s="21" t="str">
        <f t="shared" si="2"/>
        <v>#VALUE!</v>
      </c>
      <c r="J6" s="8">
        <v>25.0</v>
      </c>
      <c r="K6" s="91" t="str">
        <f t="shared" si="3"/>
        <v>#VALUE!</v>
      </c>
      <c r="L6" s="21" t="str">
        <f>SUPUESTOS!$B$63</f>
        <v>FPV</v>
      </c>
      <c r="M6" s="91" t="str">
        <f t="shared" si="4"/>
        <v>#VALUE!</v>
      </c>
    </row>
    <row r="7">
      <c r="A7" s="13" t="s">
        <v>248</v>
      </c>
      <c r="B7" s="88">
        <v>0.13</v>
      </c>
      <c r="C7" s="14">
        <f>ROUND(T2_DEMANDA!$G$24*B7,0)</f>
        <v>364</v>
      </c>
      <c r="D7" s="38">
        <f t="shared" ref="D7:E7" si="7">D3</f>
        <v>0.6081672026</v>
      </c>
      <c r="E7" s="89">
        <f t="shared" si="7"/>
        <v>0.003455948553</v>
      </c>
      <c r="F7" s="38">
        <f>E7*(1+SUPUESTOS!$B$11)*SUPUESTOS!$B$62</f>
        <v>0</v>
      </c>
      <c r="G7" s="90" t="str">
        <f>MAX(D7*(1+SUPUESTOS!$B$14),F7)</f>
        <v>#VALUE!</v>
      </c>
      <c r="H7" s="78">
        <v>24.0</v>
      </c>
      <c r="I7" s="15" t="str">
        <f t="shared" si="2"/>
        <v>#VALUE!</v>
      </c>
      <c r="J7" s="10">
        <v>35.0</v>
      </c>
      <c r="K7" s="91" t="str">
        <f t="shared" si="3"/>
        <v>#VALUE!</v>
      </c>
      <c r="L7" s="15" t="str">
        <f>SUPUESTOS!$B$63</f>
        <v>FPV</v>
      </c>
      <c r="M7" s="91" t="str">
        <f t="shared" si="4"/>
        <v>#VALUE!</v>
      </c>
    </row>
    <row r="8">
      <c r="A8" s="19" t="s">
        <v>249</v>
      </c>
      <c r="B8" s="92">
        <v>0.07</v>
      </c>
      <c r="C8" s="20">
        <f>ROUND(T2_DEMANDA!$G$24*B8,0)</f>
        <v>196</v>
      </c>
      <c r="D8" s="37">
        <f t="shared" ref="D8:E8" si="8">D3</f>
        <v>0.6081672026</v>
      </c>
      <c r="E8" s="93">
        <f t="shared" si="8"/>
        <v>0.003455948553</v>
      </c>
      <c r="F8" s="37">
        <f>E8*(1+SUPUESTOS!$B$11)*SUPUESTOS!$B$62</f>
        <v>0</v>
      </c>
      <c r="G8" s="90" t="str">
        <f>MAX(D8*(1+SUPUESTOS!$B$14),F8)</f>
        <v>#VALUE!</v>
      </c>
      <c r="H8" s="82">
        <v>35.0</v>
      </c>
      <c r="I8" s="21" t="str">
        <f t="shared" si="2"/>
        <v>#VALUE!</v>
      </c>
      <c r="J8" s="8">
        <v>50.0</v>
      </c>
      <c r="K8" s="91" t="str">
        <f t="shared" si="3"/>
        <v>#VALUE!</v>
      </c>
      <c r="L8" s="21" t="str">
        <f>SUPUESTOS!$B$63</f>
        <v>FPV</v>
      </c>
      <c r="M8" s="91" t="str">
        <f t="shared" si="4"/>
        <v>#VALUE!</v>
      </c>
    </row>
    <row r="9">
      <c r="A9" s="25" t="s">
        <v>236</v>
      </c>
      <c r="B9" s="25" t="s">
        <v>378</v>
      </c>
      <c r="C9" s="27">
        <f>SUM(C3:C8)</f>
        <v>2799</v>
      </c>
      <c r="D9" s="28"/>
      <c r="E9" s="28"/>
      <c r="F9" s="28"/>
      <c r="G9" s="28"/>
      <c r="H9" s="28"/>
      <c r="I9" s="28"/>
      <c r="J9" s="28"/>
      <c r="K9" s="28"/>
      <c r="L9" s="28"/>
      <c r="M9" s="30" t="str">
        <f>SUM(M3:M8)</f>
        <v>#VALUE!</v>
      </c>
    </row>
    <row r="11">
      <c r="A11" s="39" t="s">
        <v>379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>
      <c r="A12" s="19" t="s">
        <v>380</v>
      </c>
      <c r="B12" s="87">
        <f>T2_DEMANDA!G24</f>
        <v>2799</v>
      </c>
    </row>
    <row r="13">
      <c r="A13" s="19" t="s">
        <v>381</v>
      </c>
      <c r="B13" s="87" t="str">
        <f>M9</f>
        <v>#VALUE!</v>
      </c>
    </row>
    <row r="14">
      <c r="A14" s="19" t="s">
        <v>382</v>
      </c>
      <c r="B14" s="87" t="str">
        <f>B13/B12</f>
        <v>#VALUE!</v>
      </c>
    </row>
    <row r="15">
      <c r="A15" s="19" t="s">
        <v>383</v>
      </c>
      <c r="B15" s="87" t="str">
        <f>B13/T3_COSTOS_IMP!E3</f>
        <v>#VALUE!</v>
      </c>
    </row>
    <row r="16">
      <c r="A16" s="19" t="s">
        <v>384</v>
      </c>
      <c r="B16" s="87" t="str">
        <f>G3</f>
        <v>#VALUE!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11:M1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0"/>
    <col customWidth="1" min="3" max="3" width="28.0"/>
    <col customWidth="1" min="4" max="4" width="35.0"/>
    <col customWidth="1" min="5" max="5" width="45.0"/>
    <col customWidth="1" min="6" max="6" width="12.0"/>
    <col customWidth="1" min="7" max="7" width="10.0"/>
    <col customWidth="1" min="8" max="8" width="12.0"/>
    <col customWidth="1" min="9" max="26" width="8.71"/>
  </cols>
  <sheetData>
    <row r="1" ht="30.0" customHeight="1">
      <c r="A1" s="11" t="s">
        <v>385</v>
      </c>
      <c r="B1" s="2"/>
      <c r="C1" s="2"/>
      <c r="D1" s="2"/>
      <c r="E1" s="2"/>
      <c r="F1" s="2"/>
      <c r="G1" s="2"/>
      <c r="H1" s="3"/>
    </row>
    <row r="2" ht="30.0" customHeight="1">
      <c r="A2" s="46" t="s">
        <v>257</v>
      </c>
      <c r="B2" s="46" t="s">
        <v>386</v>
      </c>
      <c r="C2" s="46" t="s">
        <v>169</v>
      </c>
      <c r="D2" s="46" t="s">
        <v>387</v>
      </c>
      <c r="E2" s="46" t="s">
        <v>388</v>
      </c>
      <c r="F2" s="46" t="s">
        <v>389</v>
      </c>
      <c r="G2" s="46" t="s">
        <v>390</v>
      </c>
      <c r="H2" s="46" t="s">
        <v>391</v>
      </c>
    </row>
    <row r="3" ht="39.75" customHeight="1">
      <c r="A3" s="47">
        <v>1.0</v>
      </c>
      <c r="B3" s="47" t="s">
        <v>392</v>
      </c>
      <c r="C3" s="94" t="s">
        <v>393</v>
      </c>
      <c r="D3" s="13" t="s">
        <v>394</v>
      </c>
      <c r="E3" s="13" t="s">
        <v>395</v>
      </c>
      <c r="F3" s="95">
        <v>0.96</v>
      </c>
      <c r="G3" s="96">
        <v>0.95</v>
      </c>
      <c r="H3" s="61" t="s">
        <v>396</v>
      </c>
    </row>
    <row r="4" ht="39.75" customHeight="1">
      <c r="A4" s="50">
        <v>2.0</v>
      </c>
      <c r="B4" s="50" t="s">
        <v>397</v>
      </c>
      <c r="C4" s="97" t="s">
        <v>398</v>
      </c>
      <c r="D4" s="19" t="s">
        <v>399</v>
      </c>
      <c r="E4" s="19" t="str">
        <f>(Flete+Seguro+Portuarios+Agencia+Transp) / FOB = 8.309/68.475</f>
        <v>#NAME?</v>
      </c>
      <c r="F4" s="98" t="str">
        <f>T3_COSTOS_IMP!D13/T3_COSTOS_IMP!D3</f>
        <v>#VALUE!</v>
      </c>
      <c r="G4" s="99">
        <v>0.22</v>
      </c>
      <c r="H4" s="61" t="s">
        <v>396</v>
      </c>
    </row>
    <row r="5" ht="39.75" customHeight="1">
      <c r="A5" s="47">
        <v>3.0</v>
      </c>
      <c r="B5" s="47" t="s">
        <v>397</v>
      </c>
      <c r="C5" s="94" t="s">
        <v>400</v>
      </c>
      <c r="D5" s="13" t="s">
        <v>401</v>
      </c>
      <c r="E5" s="13" t="s">
        <v>402</v>
      </c>
      <c r="F5" s="100">
        <v>45.0</v>
      </c>
      <c r="G5" s="47">
        <v>45.0</v>
      </c>
      <c r="H5" s="61" t="s">
        <v>396</v>
      </c>
    </row>
    <row r="6" ht="39.75" customHeight="1">
      <c r="A6" s="50">
        <v>4.0</v>
      </c>
      <c r="B6" s="50" t="s">
        <v>403</v>
      </c>
      <c r="C6" s="97" t="s">
        <v>404</v>
      </c>
      <c r="D6" s="19" t="s">
        <v>405</v>
      </c>
      <c r="E6" s="19" t="s">
        <v>406</v>
      </c>
      <c r="F6" s="101">
        <v>0.97</v>
      </c>
      <c r="G6" s="99">
        <v>0.97</v>
      </c>
      <c r="H6" s="61" t="s">
        <v>396</v>
      </c>
    </row>
    <row r="7" ht="39.75" customHeight="1">
      <c r="A7" s="47">
        <v>5.0</v>
      </c>
      <c r="B7" s="47" t="s">
        <v>403</v>
      </c>
      <c r="C7" s="94" t="s">
        <v>407</v>
      </c>
      <c r="D7" s="13" t="s">
        <v>408</v>
      </c>
      <c r="E7" s="13" t="s">
        <v>409</v>
      </c>
      <c r="F7" s="100">
        <v>45.0</v>
      </c>
      <c r="G7" s="47">
        <v>45.0</v>
      </c>
      <c r="H7" s="61" t="s">
        <v>396</v>
      </c>
    </row>
    <row r="8" ht="39.75" customHeight="1">
      <c r="A8" s="50">
        <v>6.0</v>
      </c>
      <c r="B8" s="50" t="s">
        <v>410</v>
      </c>
      <c r="C8" s="97" t="s">
        <v>411</v>
      </c>
      <c r="D8" s="19" t="s">
        <v>412</v>
      </c>
      <c r="E8" s="19" t="str">
        <f>800/45 (inv. promedio EOQ+SS)</f>
        <v>#ERROR!</v>
      </c>
      <c r="F8" s="98" t="str">
        <f>T1_PRODUCTOS!D3/T6_STOCK_SEG!K3</f>
        <v>#VALUE!</v>
      </c>
      <c r="G8" s="50"/>
      <c r="H8" s="62" t="s">
        <v>413</v>
      </c>
    </row>
    <row r="9" ht="39.75" customHeight="1">
      <c r="A9" s="47">
        <v>7.0</v>
      </c>
      <c r="B9" s="47" t="s">
        <v>410</v>
      </c>
      <c r="C9" s="94" t="s">
        <v>414</v>
      </c>
      <c r="D9" s="13" t="s">
        <v>415</v>
      </c>
      <c r="E9" s="13" t="str">
        <f>45/5.128 unid/día</f>
        <v>#ERROR!</v>
      </c>
      <c r="F9" s="100" t="str">
        <f>T6_STOCK_SEG!K3/T6_STOCK_SEG!D3</f>
        <v>#VALUE!</v>
      </c>
      <c r="G9" s="47">
        <v>15.0</v>
      </c>
      <c r="H9" s="62" t="s">
        <v>413</v>
      </c>
    </row>
    <row r="10" ht="39.75" customHeight="1">
      <c r="A10" s="50">
        <v>8.0</v>
      </c>
      <c r="B10" s="50" t="s">
        <v>416</v>
      </c>
      <c r="C10" s="97" t="s">
        <v>417</v>
      </c>
      <c r="D10" s="19" t="s">
        <v>418</v>
      </c>
      <c r="E10" s="19" t="s">
        <v>419</v>
      </c>
      <c r="F10" s="101">
        <v>0.92</v>
      </c>
      <c r="G10" s="99">
        <v>0.92</v>
      </c>
      <c r="H10" s="61" t="s">
        <v>396</v>
      </c>
    </row>
    <row r="11" ht="39.75" customHeight="1">
      <c r="A11" s="47">
        <v>9.0</v>
      </c>
      <c r="B11" s="47" t="s">
        <v>420</v>
      </c>
      <c r="C11" s="94" t="s">
        <v>421</v>
      </c>
      <c r="D11" s="13" t="s">
        <v>422</v>
      </c>
      <c r="E11" s="13" t="str">
        <f>Costo total última milla / 2.799 pedidos</f>
        <v>#ERROR!</v>
      </c>
      <c r="F11" s="100" t="str">
        <f>T8_ULTIMA_MILLA!B13/T8_ULTIMA_MILLA!B12</f>
        <v>#VALUE!</v>
      </c>
      <c r="G11" s="47"/>
      <c r="H11" s="62" t="s">
        <v>413</v>
      </c>
    </row>
    <row r="12" ht="39.75" customHeight="1">
      <c r="A12" s="50">
        <v>10.0</v>
      </c>
      <c r="B12" s="50" t="s">
        <v>423</v>
      </c>
      <c r="C12" s="97" t="s">
        <v>424</v>
      </c>
      <c r="D12" s="19" t="s">
        <v>425</v>
      </c>
      <c r="E12" s="19" t="s">
        <v>426</v>
      </c>
      <c r="F12" s="101">
        <v>0.94</v>
      </c>
      <c r="G12" s="99">
        <v>0.94</v>
      </c>
      <c r="H12" s="61" t="s">
        <v>396</v>
      </c>
    </row>
    <row r="13" ht="39.75" customHeight="1">
      <c r="A13" s="47">
        <v>11.0</v>
      </c>
      <c r="B13" s="47" t="s">
        <v>403</v>
      </c>
      <c r="C13" s="94" t="s">
        <v>427</v>
      </c>
      <c r="D13" s="13" t="s">
        <v>428</v>
      </c>
      <c r="E13" s="13" t="s">
        <v>429</v>
      </c>
      <c r="F13" s="95">
        <v>0.98</v>
      </c>
      <c r="G13" s="96">
        <v>0.98</v>
      </c>
      <c r="H13" s="61" t="s">
        <v>396</v>
      </c>
    </row>
    <row r="14" ht="39.75" customHeight="1">
      <c r="A14" s="50">
        <v>12.0</v>
      </c>
      <c r="B14" s="50" t="s">
        <v>420</v>
      </c>
      <c r="C14" s="97" t="s">
        <v>430</v>
      </c>
      <c r="D14" s="19" t="s">
        <v>431</v>
      </c>
      <c r="E14" s="19" t="s">
        <v>432</v>
      </c>
      <c r="F14" s="101">
        <v>0.9</v>
      </c>
      <c r="G14" s="99">
        <v>0.9</v>
      </c>
      <c r="H14" s="61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.0"/>
    <col customWidth="1" min="3" max="3" width="8.0"/>
    <col customWidth="1" min="4" max="4" width="12.0"/>
    <col customWidth="1" min="5" max="5" width="8.0"/>
    <col customWidth="1" min="6" max="6" width="12.0"/>
    <col customWidth="1" min="7" max="7" width="8.0"/>
    <col customWidth="1" min="8" max="8" width="12.0"/>
    <col customWidth="1" min="9" max="26" width="8.71"/>
  </cols>
  <sheetData>
    <row r="1" ht="30.0" customHeight="1">
      <c r="A1" s="11" t="s">
        <v>433</v>
      </c>
      <c r="B1" s="2"/>
      <c r="C1" s="2"/>
      <c r="D1" s="2"/>
      <c r="E1" s="2"/>
      <c r="F1" s="2"/>
      <c r="G1" s="2"/>
      <c r="H1" s="3"/>
    </row>
    <row r="3" ht="34.5" customHeight="1">
      <c r="A3" s="102" t="s">
        <v>434</v>
      </c>
      <c r="B3" s="102" t="s">
        <v>435</v>
      </c>
      <c r="C3" s="103" t="s">
        <v>436</v>
      </c>
      <c r="D3" s="34"/>
      <c r="E3" s="103" t="s">
        <v>437</v>
      </c>
      <c r="F3" s="34"/>
      <c r="G3" s="103" t="s">
        <v>438</v>
      </c>
      <c r="H3" s="34"/>
    </row>
    <row r="4" ht="34.5" customHeight="1">
      <c r="C4" s="104" t="s">
        <v>439</v>
      </c>
      <c r="D4" s="104" t="s">
        <v>440</v>
      </c>
      <c r="E4" s="104" t="s">
        <v>439</v>
      </c>
      <c r="F4" s="104" t="s">
        <v>440</v>
      </c>
      <c r="G4" s="104" t="s">
        <v>439</v>
      </c>
      <c r="H4" s="104" t="s">
        <v>440</v>
      </c>
    </row>
    <row r="5">
      <c r="A5" s="13" t="s">
        <v>441</v>
      </c>
      <c r="B5" s="88">
        <v>0.2</v>
      </c>
      <c r="C5" s="10">
        <v>4.0</v>
      </c>
      <c r="D5" s="15">
        <f t="shared" ref="D5:D12" si="1">B5*C5</f>
        <v>0.8</v>
      </c>
      <c r="E5" s="10">
        <v>3.0</v>
      </c>
      <c r="F5" s="15">
        <f t="shared" ref="F5:F12" si="2">B5*E5</f>
        <v>0.6</v>
      </c>
      <c r="G5" s="10">
        <v>5.0</v>
      </c>
      <c r="H5" s="15">
        <f t="shared" ref="H5:H12" si="3">B5*G5</f>
        <v>1</v>
      </c>
    </row>
    <row r="6">
      <c r="A6" s="19" t="s">
        <v>442</v>
      </c>
      <c r="B6" s="92">
        <v>0.15</v>
      </c>
      <c r="C6" s="8">
        <v>5.0</v>
      </c>
      <c r="D6" s="21">
        <f t="shared" si="1"/>
        <v>0.75</v>
      </c>
      <c r="E6" s="8">
        <v>4.0</v>
      </c>
      <c r="F6" s="21">
        <f t="shared" si="2"/>
        <v>0.6</v>
      </c>
      <c r="G6" s="8">
        <v>4.0</v>
      </c>
      <c r="H6" s="21">
        <f t="shared" si="3"/>
        <v>0.6</v>
      </c>
    </row>
    <row r="7">
      <c r="A7" s="13" t="s">
        <v>443</v>
      </c>
      <c r="B7" s="88">
        <v>0.15</v>
      </c>
      <c r="C7" s="10">
        <v>4.0</v>
      </c>
      <c r="D7" s="15">
        <f t="shared" si="1"/>
        <v>0.6</v>
      </c>
      <c r="E7" s="10">
        <v>5.0</v>
      </c>
      <c r="F7" s="15">
        <f t="shared" si="2"/>
        <v>0.75</v>
      </c>
      <c r="G7" s="10">
        <v>3.0</v>
      </c>
      <c r="H7" s="15">
        <f t="shared" si="3"/>
        <v>0.45</v>
      </c>
    </row>
    <row r="8">
      <c r="A8" s="19" t="s">
        <v>444</v>
      </c>
      <c r="B8" s="92">
        <v>0.15</v>
      </c>
      <c r="C8" s="8">
        <v>4.0</v>
      </c>
      <c r="D8" s="21">
        <f t="shared" si="1"/>
        <v>0.6</v>
      </c>
      <c r="E8" s="8">
        <v>3.0</v>
      </c>
      <c r="F8" s="21">
        <f t="shared" si="2"/>
        <v>0.45</v>
      </c>
      <c r="G8" s="8">
        <v>5.0</v>
      </c>
      <c r="H8" s="21">
        <f t="shared" si="3"/>
        <v>0.75</v>
      </c>
    </row>
    <row r="9">
      <c r="A9" s="13" t="s">
        <v>445</v>
      </c>
      <c r="B9" s="88">
        <v>0.1</v>
      </c>
      <c r="C9" s="10">
        <v>3.0</v>
      </c>
      <c r="D9" s="15">
        <f t="shared" si="1"/>
        <v>0.3</v>
      </c>
      <c r="E9" s="10">
        <v>4.0</v>
      </c>
      <c r="F9" s="15">
        <f t="shared" si="2"/>
        <v>0.4</v>
      </c>
      <c r="G9" s="10">
        <v>3.0</v>
      </c>
      <c r="H9" s="15">
        <f t="shared" si="3"/>
        <v>0.3</v>
      </c>
    </row>
    <row r="10">
      <c r="A10" s="19" t="s">
        <v>446</v>
      </c>
      <c r="B10" s="92">
        <v>0.1</v>
      </c>
      <c r="C10" s="8">
        <v>4.0</v>
      </c>
      <c r="D10" s="21">
        <f t="shared" si="1"/>
        <v>0.4</v>
      </c>
      <c r="E10" s="8">
        <v>5.0</v>
      </c>
      <c r="F10" s="21">
        <f t="shared" si="2"/>
        <v>0.5</v>
      </c>
      <c r="G10" s="8">
        <v>3.0</v>
      </c>
      <c r="H10" s="21">
        <f t="shared" si="3"/>
        <v>0.3</v>
      </c>
    </row>
    <row r="11">
      <c r="A11" s="13" t="s">
        <v>447</v>
      </c>
      <c r="B11" s="88">
        <v>0.08</v>
      </c>
      <c r="C11" s="10">
        <v>4.0</v>
      </c>
      <c r="D11" s="15">
        <f t="shared" si="1"/>
        <v>0.32</v>
      </c>
      <c r="E11" s="10">
        <v>3.0</v>
      </c>
      <c r="F11" s="15">
        <f t="shared" si="2"/>
        <v>0.24</v>
      </c>
      <c r="G11" s="10">
        <v>5.0</v>
      </c>
      <c r="H11" s="15">
        <f t="shared" si="3"/>
        <v>0.4</v>
      </c>
    </row>
    <row r="12">
      <c r="A12" s="19" t="s">
        <v>448</v>
      </c>
      <c r="B12" s="92">
        <v>0.07</v>
      </c>
      <c r="C12" s="8">
        <v>4.0</v>
      </c>
      <c r="D12" s="21">
        <f t="shared" si="1"/>
        <v>0.28</v>
      </c>
      <c r="E12" s="8">
        <v>3.0</v>
      </c>
      <c r="F12" s="21">
        <f t="shared" si="2"/>
        <v>0.21</v>
      </c>
      <c r="G12" s="8">
        <v>4.0</v>
      </c>
      <c r="H12" s="21">
        <f t="shared" si="3"/>
        <v>0.28</v>
      </c>
    </row>
    <row r="13">
      <c r="A13" s="25" t="s">
        <v>449</v>
      </c>
      <c r="B13" s="26"/>
      <c r="C13" s="28"/>
      <c r="D13" s="30">
        <f>SUM(D5:D12)</f>
        <v>4.05</v>
      </c>
      <c r="E13" s="28"/>
      <c r="F13" s="30">
        <f>SUM(F5:F12)</f>
        <v>3.75</v>
      </c>
      <c r="G13" s="28"/>
      <c r="H13" s="30">
        <f>SUM(H5:H12)</f>
        <v>4.08</v>
      </c>
    </row>
    <row r="15">
      <c r="A15" s="105" t="s">
        <v>450</v>
      </c>
      <c r="B15" s="2"/>
      <c r="C15" s="2"/>
      <c r="D15" s="2"/>
      <c r="E15" s="2"/>
      <c r="F15" s="2"/>
      <c r="G15" s="2"/>
      <c r="H15" s="3"/>
    </row>
    <row r="17">
      <c r="A17" s="106" t="s">
        <v>451</v>
      </c>
      <c r="B17" s="2"/>
      <c r="C17" s="2"/>
      <c r="D17" s="2"/>
      <c r="E17" s="2"/>
      <c r="F17" s="2"/>
      <c r="G17" s="2"/>
      <c r="H17" s="3"/>
    </row>
    <row r="18" ht="30.0" customHeight="1">
      <c r="A18" s="107" t="s">
        <v>452</v>
      </c>
      <c r="B18" s="2"/>
      <c r="C18" s="2"/>
      <c r="D18" s="2"/>
      <c r="E18" s="2"/>
      <c r="F18" s="2"/>
      <c r="G18" s="2"/>
      <c r="H18" s="3"/>
    </row>
    <row r="19">
      <c r="A19" s="106" t="s">
        <v>453</v>
      </c>
      <c r="B19" s="2"/>
      <c r="C19" s="2"/>
      <c r="D19" s="2"/>
      <c r="E19" s="2"/>
      <c r="F19" s="2"/>
      <c r="G19" s="2"/>
      <c r="H19" s="3"/>
    </row>
    <row r="20" ht="30.0" customHeight="1">
      <c r="A20" s="107" t="s">
        <v>454</v>
      </c>
      <c r="B20" s="2"/>
      <c r="C20" s="2"/>
      <c r="D20" s="2"/>
      <c r="E20" s="2"/>
      <c r="F20" s="2"/>
      <c r="G20" s="2"/>
      <c r="H20" s="3"/>
    </row>
    <row r="21" ht="15.75" customHeight="1">
      <c r="A21" s="106" t="s">
        <v>455</v>
      </c>
      <c r="B21" s="2"/>
      <c r="C21" s="2"/>
      <c r="D21" s="2"/>
      <c r="E21" s="2"/>
      <c r="F21" s="2"/>
      <c r="G21" s="2"/>
      <c r="H21" s="3"/>
    </row>
    <row r="22" ht="30.0" customHeight="1">
      <c r="A22" s="107" t="s">
        <v>456</v>
      </c>
      <c r="B22" s="2"/>
      <c r="C22" s="2"/>
      <c r="D22" s="2"/>
      <c r="E22" s="2"/>
      <c r="F22" s="2"/>
      <c r="G22" s="2"/>
      <c r="H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9:H19"/>
    <mergeCell ref="A20:H20"/>
    <mergeCell ref="A21:H21"/>
    <mergeCell ref="A22:H22"/>
    <mergeCell ref="A1:H1"/>
    <mergeCell ref="C3:D3"/>
    <mergeCell ref="E3:F3"/>
    <mergeCell ref="G3:H3"/>
    <mergeCell ref="A15:H15"/>
    <mergeCell ref="A17:H17"/>
    <mergeCell ref="A18:H18"/>
  </mergeCells>
  <printOptions/>
  <pageMargins bottom="1.0" footer="0.0" header="0.0" left="0.75" right="0.75" top="1.0"/>
  <pageSetup orientation="landscape"/>
  <drawing r:id="rId1"/>
</worksheet>
</file>